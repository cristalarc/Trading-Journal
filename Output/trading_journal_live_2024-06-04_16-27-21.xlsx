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d.docs.live.net/261a4915364edc4c/Coding/Projects/Trading Journal/Output/"/>
    </mc:Choice>
  </mc:AlternateContent>
  <xr:revisionPtr revIDLastSave="122" documentId="11_875775409DAD6215DF5D8CBFB6746649C59585FA" xr6:coauthVersionLast="47" xr6:coauthVersionMax="47" xr10:uidLastSave="{0D7DB680-14DE-442C-BE6A-A030BB2F8847}"/>
  <bookViews>
    <workbookView xWindow="-110" yWindow="-110" windowWidth="38620" windowHeight="21100" firstSheet="1" activeTab="2" xr2:uid="{00000000-000D-0000-FFFF-FFFF00000000}"/>
  </bookViews>
  <sheets>
    <sheet name="Improvements" sheetId="1" r:id="rId1"/>
    <sheet name="Weekly One Pager" sheetId="2" r:id="rId2"/>
    <sheet name="Journal" sheetId="3" r:id="rId3"/>
    <sheet name="Ideas" sheetId="4" r:id="rId4"/>
    <sheet name="Trade Log" sheetId="5" r:id="rId5"/>
    <sheet name="Retro" sheetId="6" r:id="rId6"/>
    <sheet name="Retro BI" sheetId="7" r:id="rId7"/>
    <sheet name="Data Tags" sheetId="8" r:id="rId8"/>
    <sheet name="Dropdown List Tags" sheetId="9" r:id="rId9"/>
    <sheet name="TraderSync Export" sheetId="10" r:id="rId10"/>
    <sheet name="Strategies" sheetId="11" r:id="rId11"/>
    <sheet name="Definitions" sheetId="12" r:id="rId12"/>
    <sheet name="To Do" sheetId="13" r:id="rId13"/>
    <sheet name="Process" sheetId="14" r:id="rId14"/>
    <sheet name="Summary"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Y25" i="5"/>
  <c r="Y24" i="5"/>
  <c r="Y23" i="5"/>
  <c r="Y22" i="5"/>
  <c r="Y21" i="5"/>
  <c r="Y20" i="5"/>
  <c r="Y19" i="5"/>
  <c r="Y18" i="5"/>
  <c r="Y17" i="5"/>
  <c r="Y16" i="5"/>
  <c r="Y15" i="5"/>
  <c r="Y14" i="5"/>
  <c r="Y13" i="5"/>
  <c r="Y12" i="5"/>
  <c r="Y11" i="5"/>
  <c r="Y10" i="5"/>
  <c r="Y9" i="5"/>
  <c r="Y8" i="5"/>
  <c r="Y7" i="5"/>
  <c r="Y6" i="5"/>
  <c r="Y5" i="5"/>
  <c r="Y4" i="5"/>
  <c r="Y3" i="5"/>
  <c r="Y2" i="5"/>
  <c r="P57" i="4"/>
  <c r="O57" i="4"/>
  <c r="G57" i="4"/>
  <c r="P56" i="4"/>
  <c r="O56" i="4"/>
  <c r="G56" i="4"/>
  <c r="P55" i="4"/>
  <c r="O55" i="4"/>
  <c r="G55" i="4"/>
  <c r="P54" i="4"/>
  <c r="O54" i="4"/>
  <c r="G54" i="4"/>
  <c r="P53" i="4"/>
  <c r="O53" i="4"/>
  <c r="G53" i="4"/>
  <c r="P52" i="4"/>
  <c r="O52" i="4"/>
  <c r="G52" i="4"/>
  <c r="P51" i="4"/>
  <c r="O51" i="4"/>
  <c r="G51" i="4"/>
  <c r="P50" i="4"/>
  <c r="O50" i="4"/>
  <c r="G50" i="4"/>
  <c r="P49" i="4"/>
  <c r="O49" i="4"/>
  <c r="G49" i="4"/>
  <c r="P48" i="4"/>
  <c r="O48" i="4"/>
  <c r="G48" i="4"/>
  <c r="P47" i="4"/>
  <c r="O47" i="4"/>
  <c r="G47" i="4"/>
  <c r="P46" i="4"/>
  <c r="O46" i="4"/>
  <c r="G46" i="4"/>
  <c r="P45" i="4"/>
  <c r="O45" i="4"/>
  <c r="G45" i="4"/>
  <c r="P44" i="4"/>
  <c r="O44" i="4"/>
  <c r="G44" i="4"/>
  <c r="P43" i="4"/>
  <c r="O43" i="4"/>
  <c r="G43" i="4"/>
  <c r="P42" i="4"/>
  <c r="O42" i="4"/>
  <c r="G42" i="4"/>
  <c r="P41" i="4"/>
  <c r="O41" i="4"/>
  <c r="G41" i="4"/>
  <c r="P40" i="4"/>
  <c r="O40" i="4"/>
  <c r="G40" i="4"/>
  <c r="P39" i="4"/>
  <c r="O39" i="4"/>
  <c r="G39" i="4"/>
  <c r="P38" i="4"/>
  <c r="O38" i="4"/>
  <c r="G38" i="4"/>
  <c r="P37" i="4"/>
  <c r="O37" i="4"/>
  <c r="G37" i="4"/>
  <c r="P36" i="4"/>
  <c r="O36" i="4"/>
  <c r="G36" i="4"/>
  <c r="P35" i="4"/>
  <c r="O35" i="4"/>
  <c r="G35" i="4"/>
  <c r="P34" i="4"/>
  <c r="O34" i="4"/>
  <c r="G34" i="4"/>
  <c r="P33" i="4"/>
  <c r="O33" i="4"/>
  <c r="G33" i="4"/>
  <c r="P32" i="4"/>
  <c r="O32" i="4"/>
  <c r="G32" i="4"/>
  <c r="P31" i="4"/>
  <c r="O31" i="4"/>
  <c r="G31" i="4"/>
  <c r="P30" i="4"/>
  <c r="O30" i="4"/>
  <c r="G30" i="4"/>
  <c r="P29" i="4"/>
  <c r="O29" i="4"/>
  <c r="G29" i="4"/>
  <c r="P28" i="4"/>
  <c r="O28" i="4"/>
  <c r="G28" i="4"/>
  <c r="P27" i="4"/>
  <c r="O27" i="4"/>
  <c r="G27" i="4"/>
  <c r="P26" i="4"/>
  <c r="O26" i="4"/>
  <c r="G26" i="4"/>
  <c r="P25" i="4"/>
  <c r="O25" i="4"/>
  <c r="G25" i="4"/>
  <c r="P24" i="4"/>
  <c r="O24" i="4"/>
  <c r="G24" i="4"/>
  <c r="P23" i="4"/>
  <c r="O23" i="4"/>
  <c r="G23" i="4"/>
  <c r="P22" i="4"/>
  <c r="O22" i="4"/>
  <c r="G22" i="4"/>
  <c r="P21" i="4"/>
  <c r="O21" i="4"/>
  <c r="G21" i="4"/>
  <c r="P20" i="4"/>
  <c r="O20" i="4"/>
  <c r="G20" i="4"/>
  <c r="P19" i="4"/>
  <c r="O19" i="4"/>
  <c r="G19" i="4"/>
  <c r="P18" i="4"/>
  <c r="O18" i="4"/>
  <c r="G18" i="4"/>
  <c r="P17" i="4"/>
  <c r="O17" i="4"/>
  <c r="G17" i="4"/>
  <c r="P16" i="4"/>
  <c r="O16" i="4"/>
  <c r="G16" i="4"/>
  <c r="P15" i="4"/>
  <c r="O15" i="4"/>
  <c r="G15" i="4"/>
  <c r="P14" i="4"/>
  <c r="O14" i="4"/>
  <c r="G14" i="4"/>
  <c r="P13" i="4"/>
  <c r="O13" i="4"/>
  <c r="G13" i="4"/>
  <c r="P12" i="4"/>
  <c r="O12" i="4"/>
  <c r="G12" i="4"/>
  <c r="P11" i="4"/>
  <c r="O11" i="4"/>
  <c r="G11" i="4"/>
  <c r="P10" i="4"/>
  <c r="O10" i="4"/>
  <c r="G10" i="4"/>
  <c r="P9" i="4"/>
  <c r="O9" i="4"/>
  <c r="G9" i="4"/>
  <c r="P8" i="4"/>
  <c r="O8" i="4"/>
  <c r="G8" i="4"/>
  <c r="P7" i="4"/>
  <c r="O7" i="4"/>
  <c r="G7" i="4"/>
  <c r="P6" i="4"/>
  <c r="O6" i="4"/>
  <c r="G6" i="4"/>
  <c r="P5" i="4"/>
  <c r="O5" i="4"/>
  <c r="G5" i="4"/>
  <c r="P4" i="4"/>
  <c r="O4" i="4"/>
  <c r="G4" i="4"/>
  <c r="P3" i="4"/>
  <c r="O3" i="4"/>
  <c r="G3" i="4"/>
  <c r="P2" i="4"/>
  <c r="O2" i="4"/>
  <c r="G2" i="4"/>
</calcChain>
</file>

<file path=xl/sharedStrings.xml><?xml version="1.0" encoding="utf-8"?>
<sst xmlns="http://schemas.openxmlformats.org/spreadsheetml/2006/main" count="1031" uniqueCount="412">
  <si>
    <t>Sheet</t>
  </si>
  <si>
    <t>Commentary</t>
  </si>
  <si>
    <t>Date</t>
  </si>
  <si>
    <t>Symbol</t>
  </si>
  <si>
    <t>Comments</t>
  </si>
  <si>
    <t>Key Support Level</t>
  </si>
  <si>
    <t>Key Resistance Level</t>
  </si>
  <si>
    <t>Game Plan</t>
  </si>
  <si>
    <t>Current Price</t>
  </si>
  <si>
    <t>Direction</t>
  </si>
  <si>
    <t>Sentiment</t>
  </si>
  <si>
    <t>Sentiment Type</t>
  </si>
  <si>
    <t>Governing Pattern</t>
  </si>
  <si>
    <t>30D Retro</t>
  </si>
  <si>
    <t>Weekly One Pager</t>
  </si>
  <si>
    <t>Followup</t>
  </si>
  <si>
    <t>SPY</t>
  </si>
  <si>
    <t>Bullish</t>
  </si>
  <si>
    <t>Fundamental</t>
  </si>
  <si>
    <t>Inverted Cup</t>
  </si>
  <si>
    <t>This is a test</t>
  </si>
  <si>
    <t>Incoming to a lot of MAs traffic that can rebound, and a bit of low wick.
We might have a small bounce.</t>
  </si>
  <si>
    <t>CONGLO</t>
  </si>
  <si>
    <t>Bearish</t>
  </si>
  <si>
    <t>Lore ipsum</t>
  </si>
  <si>
    <t>QQQ</t>
  </si>
  <si>
    <t>Lore ipsumsss</t>
  </si>
  <si>
    <t>CELH</t>
  </si>
  <si>
    <t>Lore ipsumsafsfds</t>
  </si>
  <si>
    <t>Yes</t>
  </si>
  <si>
    <t>AAPL</t>
  </si>
  <si>
    <t>Bearish Pennant</t>
  </si>
  <si>
    <t>IWM</t>
  </si>
  <si>
    <t>Auto Algo Line Daily</t>
  </si>
  <si>
    <t>Lore ipsum xxx$$%</t>
  </si>
  <si>
    <t>DKNG</t>
  </si>
  <si>
    <t>Technical</t>
  </si>
  <si>
    <t>Double Bottom</t>
  </si>
  <si>
    <t>Lore ipsum ''"''</t>
  </si>
  <si>
    <t>AMZN</t>
  </si>
  <si>
    <t>Lore ipsum ,,"</t>
  </si>
  <si>
    <t>GME</t>
  </si>
  <si>
    <t>AMC</t>
  </si>
  <si>
    <t>ASTS</t>
  </si>
  <si>
    <t>XPO</t>
  </si>
  <si>
    <t>Ticker</t>
  </si>
  <si>
    <t>Target Entry</t>
  </si>
  <si>
    <t>Target Price</t>
  </si>
  <si>
    <t>Stop</t>
  </si>
  <si>
    <t>RR Ratio</t>
  </si>
  <si>
    <t>Trade Direction</t>
  </si>
  <si>
    <t>Strategy</t>
  </si>
  <si>
    <t>Market</t>
  </si>
  <si>
    <t>Relative</t>
  </si>
  <si>
    <t>1hr Trend</t>
  </si>
  <si>
    <t>1hr Cloud</t>
  </si>
  <si>
    <t>Intended Position</t>
  </si>
  <si>
    <t>To win Money</t>
  </si>
  <si>
    <t>Money Risk</t>
  </si>
  <si>
    <t>Notes</t>
  </si>
  <si>
    <t>Sourced</t>
  </si>
  <si>
    <t>Quality</t>
  </si>
  <si>
    <t>Filter</t>
  </si>
  <si>
    <t>Trade ID</t>
  </si>
  <si>
    <t>Status</t>
  </si>
  <si>
    <t>Size</t>
  </si>
  <si>
    <t>Open Date</t>
  </si>
  <si>
    <t>Close Date</t>
  </si>
  <si>
    <t>Setup 1</t>
  </si>
  <si>
    <t>Setup 2</t>
  </si>
  <si>
    <t>Setup 3</t>
  </si>
  <si>
    <t>Setup 4</t>
  </si>
  <si>
    <t>Setup 5</t>
  </si>
  <si>
    <t>Setup 6</t>
  </si>
  <si>
    <t>Mistakes 1</t>
  </si>
  <si>
    <t>Mistakes 2</t>
  </si>
  <si>
    <t>Mistakes 3</t>
  </si>
  <si>
    <t>Mistakes 4</t>
  </si>
  <si>
    <t>Mistakes 5</t>
  </si>
  <si>
    <t>Entry Price</t>
  </si>
  <si>
    <t>Exit Price</t>
  </si>
  <si>
    <t>Avg Buy</t>
  </si>
  <si>
    <t>Avg Sell</t>
  </si>
  <si>
    <t>Net Return</t>
  </si>
  <si>
    <t>Type</t>
  </si>
  <si>
    <t>Net Return %</t>
  </si>
  <si>
    <t>MAE</t>
  </si>
  <si>
    <t>MFE</t>
  </si>
  <si>
    <t>Best Exit $</t>
  </si>
  <si>
    <t>Best Exit %</t>
  </si>
  <si>
    <t>WIN</t>
  </si>
  <si>
    <t>SPX</t>
  </si>
  <si>
    <t>Apr 19, 2024</t>
  </si>
  <si>
    <t>Rich SPY</t>
  </si>
  <si>
    <t>Fumbled</t>
  </si>
  <si>
    <t>OPTION</t>
  </si>
  <si>
    <t>Apr 15, 2024</t>
  </si>
  <si>
    <t>Waited</t>
  </si>
  <si>
    <t>LOSS</t>
  </si>
  <si>
    <t>Feb 09, 2024</t>
  </si>
  <si>
    <t>SHARE</t>
  </si>
  <si>
    <t>Exit Feeling</t>
  </si>
  <si>
    <t>Retro Due Date</t>
  </si>
  <si>
    <t>KPI #1</t>
  </si>
  <si>
    <t>KPI #2</t>
  </si>
  <si>
    <t>KPI #3</t>
  </si>
  <si>
    <t>Mar 01, 2024</t>
  </si>
  <si>
    <t>Total Trades</t>
  </si>
  <si>
    <t>Profit</t>
  </si>
  <si>
    <t>Losses</t>
  </si>
  <si>
    <t>Profit Factor</t>
  </si>
  <si>
    <t>Average Return</t>
  </si>
  <si>
    <t>Direction/Sentiment</t>
  </si>
  <si>
    <t>14D Retro</t>
  </si>
  <si>
    <t>HnS</t>
  </si>
  <si>
    <t>Win</t>
  </si>
  <si>
    <t>Watchlist</t>
  </si>
  <si>
    <t>Long</t>
  </si>
  <si>
    <t>Above</t>
  </si>
  <si>
    <t>LQ</t>
  </si>
  <si>
    <t>Open</t>
  </si>
  <si>
    <t>Good Exit</t>
  </si>
  <si>
    <t>EOD</t>
  </si>
  <si>
    <t>Cup</t>
  </si>
  <si>
    <t>Lose</t>
  </si>
  <si>
    <t>MACD Scanner</t>
  </si>
  <si>
    <t>Short</t>
  </si>
  <si>
    <t>CSH</t>
  </si>
  <si>
    <t>Below</t>
  </si>
  <si>
    <t>MQ</t>
  </si>
  <si>
    <t>Taken</t>
  </si>
  <si>
    <t>D+3</t>
  </si>
  <si>
    <t>Inverted HnS</t>
  </si>
  <si>
    <t>Mixed</t>
  </si>
  <si>
    <t>VTR Scanner</t>
  </si>
  <si>
    <t>CSD</t>
  </si>
  <si>
    <t>HQ</t>
  </si>
  <si>
    <t>Expired</t>
  </si>
  <si>
    <t>Bad Execution</t>
  </si>
  <si>
    <t>NA</t>
  </si>
  <si>
    <t>Relative Daily scanner</t>
  </si>
  <si>
    <t>CSDT</t>
  </si>
  <si>
    <t>Bullish Pennant</t>
  </si>
  <si>
    <t>BTD Scanner</t>
  </si>
  <si>
    <t>CSDTV</t>
  </si>
  <si>
    <t>Ideas</t>
  </si>
  <si>
    <t>SW</t>
  </si>
  <si>
    <t>EOW</t>
  </si>
  <si>
    <t>Double Top</t>
  </si>
  <si>
    <t>SLQT</t>
  </si>
  <si>
    <t>Triple Top</t>
  </si>
  <si>
    <t>DT</t>
  </si>
  <si>
    <t>ZM</t>
  </si>
  <si>
    <t>Triple Bottom</t>
  </si>
  <si>
    <t>Rich Stock Swings</t>
  </si>
  <si>
    <t>Journal</t>
  </si>
  <si>
    <t>Trade Log</t>
  </si>
  <si>
    <t>Open Time</t>
  </si>
  <si>
    <t>Close Time</t>
  </si>
  <si>
    <t>Setups</t>
  </si>
  <si>
    <t>Mistakes</t>
  </si>
  <si>
    <t>Return $</t>
  </si>
  <si>
    <t>Return %</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</si>
  <si>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</si>
  <si>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</si>
  <si>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</si>
  <si>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</si>
  <si>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</si>
  <si>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</si>
  <si>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</si>
  <si>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</si>
  <si>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</si>
  <si>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</si>
  <si>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</si>
  <si>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</si>
  <si>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</si>
  <si>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</si>
  <si>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</si>
  <si>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</si>
  <si>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</si>
  <si>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</si>
  <si>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Expectancy</t>
  </si>
  <si>
    <t>R-Multiple</t>
  </si>
  <si>
    <t>10:02:17</t>
  </si>
  <si>
    <t>15:27:20</t>
  </si>
  <si>
    <t>33.12%</t>
  </si>
  <si>
    <t>LONG</t>
  </si>
  <si>
    <t>SINGLE</t>
  </si>
  <si>
    <t>21d</t>
  </si>
  <si>
    <t>ROTH IRA</t>
  </si>
  <si>
    <t>Private</t>
  </si>
  <si>
    <t>OPEN</t>
  </si>
  <si>
    <t>TSLA</t>
  </si>
  <si>
    <t>Apr 01, 2024</t>
  </si>
  <si>
    <t>09:42:31</t>
  </si>
  <si>
    <t>0 sec</t>
  </si>
  <si>
    <t>Chase Retirement</t>
  </si>
  <si>
    <t>10:03:23</t>
  </si>
  <si>
    <t>U</t>
  </si>
  <si>
    <t>Apr 09, 2024</t>
  </si>
  <si>
    <t>09:57:43</t>
  </si>
  <si>
    <t>09:58:02</t>
  </si>
  <si>
    <t>19 sec</t>
  </si>
  <si>
    <t>09:41:14</t>
  </si>
  <si>
    <t>09:41:35</t>
  </si>
  <si>
    <t>-5.13%</t>
  </si>
  <si>
    <t>15 APR 24</t>
  </si>
  <si>
    <t>21 sec</t>
  </si>
  <si>
    <t>Day Trading</t>
  </si>
  <si>
    <t>09:53:29</t>
  </si>
  <si>
    <t>09:55:18</t>
  </si>
  <si>
    <t>Rich SPY, Waited</t>
  </si>
  <si>
    <t>4.76%</t>
  </si>
  <si>
    <t>01:49 min</t>
  </si>
  <si>
    <t>11:28:57</t>
  </si>
  <si>
    <t>11:33:36</t>
  </si>
  <si>
    <t>3.45%</t>
  </si>
  <si>
    <t>19 APR 24</t>
  </si>
  <si>
    <t>04:39 min</t>
  </si>
  <si>
    <t>Apr 23, 2024</t>
  </si>
  <si>
    <t>16:24:32</t>
  </si>
  <si>
    <t>TCHI</t>
  </si>
  <si>
    <t>May 03, 2024</t>
  </si>
  <si>
    <t>10:13:22</t>
  </si>
  <si>
    <t>Cloud System Swings 1hr</t>
  </si>
  <si>
    <t>Sourcing</t>
  </si>
  <si>
    <t>Recording System</t>
  </si>
  <si>
    <t>Enter Criteria</t>
  </si>
  <si>
    <t>Early Entry Criteria</t>
  </si>
  <si>
    <t>Enter as the candle is breaking the cloud.</t>
  </si>
  <si>
    <t>Exit Criteria</t>
  </si>
  <si>
    <t>Close breaks the 5-12 cloud.</t>
  </si>
  <si>
    <t>Confirmation Criteria</t>
  </si>
  <si>
    <t>Confirmation is defined as a close cross the cloud.</t>
  </si>
  <si>
    <t>Quality Considerations</t>
  </si>
  <si>
    <t>Quality Criteria</t>
  </si>
  <si>
    <t>Kaizen</t>
  </si>
  <si>
    <t>Execution Review Criteria</t>
  </si>
  <si>
    <t xml:space="preserve">Exited as defined in the criteria or not. Max gain analysis. </t>
  </si>
  <si>
    <t>Backtesting</t>
  </si>
  <si>
    <t>Retrospective Period</t>
  </si>
  <si>
    <t>Exit Feeling Record</t>
  </si>
  <si>
    <t>Current Version</t>
  </si>
  <si>
    <t>Scoring KPI of Strategy</t>
  </si>
  <si>
    <t>Best Exit</t>
  </si>
  <si>
    <t>Tagging System</t>
  </si>
  <si>
    <t>TODO</t>
  </si>
  <si>
    <t>Rich SPY Trading</t>
  </si>
  <si>
    <t>Rich Discord</t>
  </si>
  <si>
    <t>Matching price to call</t>
  </si>
  <si>
    <t>Cheaper price than Rich</t>
  </si>
  <si>
    <t>30% profit</t>
  </si>
  <si>
    <t>Seeing Rich's call.</t>
  </si>
  <si>
    <t>My exit versus Rich's measured in Avg Return.</t>
  </si>
  <si>
    <t>Cloud System Swings Daily</t>
  </si>
  <si>
    <t>Cloud System DT</t>
  </si>
  <si>
    <t>Cloud System DT Variant</t>
  </si>
  <si>
    <t>TBD</t>
  </si>
  <si>
    <t>Confirmation is defined as 34-50 cross of a pivot point.</t>
  </si>
  <si>
    <t>Strong Swings</t>
  </si>
  <si>
    <t>Enter as soon as level is reached</t>
  </si>
  <si>
    <t>RR level is met</t>
  </si>
  <si>
    <t>Confirmation is defined as resolution of outcome after touching the line. Need to work more on this definition.</t>
  </si>
  <si>
    <t>Need backtesting to check what a confirmation has looked like in the past.</t>
  </si>
  <si>
    <t>Strong Level Quick Trades</t>
  </si>
  <si>
    <t>Trend 10 min Trades</t>
  </si>
  <si>
    <t>Enter as soon as something is happening at level (broken or failed)</t>
  </si>
  <si>
    <t>Profit level is met</t>
  </si>
  <si>
    <t>Confirmation is defined by a candle closing with the trend</t>
  </si>
  <si>
    <t>Zack Morris SPY trades</t>
  </si>
  <si>
    <t>FU Club Discord</t>
  </si>
  <si>
    <t>Cheaper price than ZM</t>
  </si>
  <si>
    <t>Seeing ZM call</t>
  </si>
  <si>
    <t>My exit versus ZM's measured in Avg Return.</t>
  </si>
  <si>
    <t>Matching Rich exit</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</si>
  <si>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</si>
  <si>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</si>
  <si>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</si>
  <si>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</si>
  <si>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</si>
  <si>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Green tabs: Data feeder tabs.</t>
  </si>
  <si>
    <t>Blue tabs: Ancilliary information.</t>
  </si>
  <si>
    <t>Stock Journal</t>
  </si>
  <si>
    <t>Date in which commentary was recorded.</t>
  </si>
  <si>
    <t>Stock ticker.</t>
  </si>
  <si>
    <t>Direction of the stock based off D chart direction indicator.</t>
  </si>
  <si>
    <t>Overall personal direction sentiment of the stock.</t>
  </si>
  <si>
    <t>Is the sentiment based on technical analysis or on fundamentals.</t>
  </si>
  <si>
    <t>30 day Retro</t>
  </si>
  <si>
    <t>30 day retrospective on the analysis. Win = would have made money trading my sentiment. Lose = opposite. Mixed = there was money inside the 14D period. NA does not apply to fundamental Sentiment Type.</t>
  </si>
  <si>
    <t>Governing Patterns</t>
  </si>
  <si>
    <t>Which technical pattern is currently governing the stock. Keep it wo W, D and H charts.</t>
  </si>
  <si>
    <t>Current Daily support level.</t>
  </si>
  <si>
    <t>Current Daily resistance level.</t>
  </si>
  <si>
    <t>Stock commentary for the analysis.</t>
  </si>
  <si>
    <t>If yes, the information should be added to the weekly one pager.</t>
  </si>
  <si>
    <t>Flag that determines if this entry is followup of an open trade.</t>
  </si>
  <si>
    <t>Current stock price</t>
  </si>
  <si>
    <t>Expected trade entry price</t>
  </si>
  <si>
    <t>Expected target exit price</t>
  </si>
  <si>
    <t>Expected stop loss</t>
  </si>
  <si>
    <t>Risk reward ratio for the trade</t>
  </si>
  <si>
    <t>Long or Short</t>
  </si>
  <si>
    <t>Name of the setup or strategy</t>
  </si>
  <si>
    <t>Value of RSI Trend indicator in the Strategy's relevant timeframe</t>
  </si>
  <si>
    <t>Value of relativenes in the strategy's relevant timeframe</t>
  </si>
  <si>
    <t>Value of RSI Trend indicator in the hourly chart</t>
  </si>
  <si>
    <t>Above or below the 34-50 1 hour cloud</t>
  </si>
  <si>
    <t>Intended stock quantity for this idea</t>
  </si>
  <si>
    <t>Calculated to win money</t>
  </si>
  <si>
    <t>Calculated money at risk of losing</t>
  </si>
  <si>
    <t>Open notes</t>
  </si>
  <si>
    <t>Quality as defined in the strategy data</t>
  </si>
  <si>
    <t>Trade ID for cross sheet lookup purposes</t>
  </si>
  <si>
    <t>Retro</t>
  </si>
  <si>
    <t>Passed: overperformed as described in Execution Review Criteria.</t>
  </si>
  <si>
    <t>Not Passed: underperformed Execution Review Criteria.</t>
  </si>
  <si>
    <t>Return</t>
  </si>
  <si>
    <t>Unique ID for the trade.</t>
  </si>
  <si>
    <t>Defines the maximum possible losses that could have taken place during the trade.</t>
  </si>
  <si>
    <t>Defines the maximum possible profits that could have taken place during the trade.</t>
  </si>
  <si>
    <t>Basecamp sheet</t>
  </si>
  <si>
    <t>A sheet that when I open this file tells me what needs to be done.</t>
  </si>
  <si>
    <t>Restrospective</t>
  </si>
  <si>
    <t>Needs to pull all order information just by matching Order ID</t>
  </si>
  <si>
    <t>Start by sourcing from the Trade Log</t>
  </si>
  <si>
    <t>Look for Retro needs in the setup and develop this sheet</t>
  </si>
  <si>
    <t>KPI 1 and 2 need to pulate from the setup selection</t>
  </si>
  <si>
    <t>Make it based on Ripster's and your OneNotes</t>
  </si>
  <si>
    <t>Done</t>
  </si>
  <si>
    <t>Define the daily process and add to MS ToDo</t>
  </si>
  <si>
    <t>Define what Retro BI should look like</t>
  </si>
  <si>
    <t>In Python, each trade can be a dictionary.</t>
  </si>
  <si>
    <t>Make a Trade Class perhaps</t>
  </si>
  <si>
    <t>On Sundays</t>
  </si>
  <si>
    <t>Clear the Weekly One Pager.</t>
  </si>
  <si>
    <t>Do your weekly market analysis and add them to the Journal.</t>
  </si>
  <si>
    <t>If the entry is marked as Yes to one pager, pass the the information to Weekly One Pager sheet.</t>
  </si>
  <si>
    <t>Copy the Weekly One Pager entries to the OneNote.</t>
  </si>
  <si>
    <t>Arrange the Weekly One Pager by Market comments, Stock comments, Followup comments.</t>
  </si>
  <si>
    <t>Daily:</t>
  </si>
  <si>
    <t>Paste the TraderSync daily export on TraderSync Export sheet.</t>
  </si>
  <si>
    <t>If Status not OPEN, 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</si>
  <si>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</si>
  <si>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</si>
  <si>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</si>
  <si>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</si>
  <si>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Source from Setup.</t>
  </si>
  <si>
    <t>Recognize Quality from Setup.</t>
  </si>
  <si>
    <t>Recognize Exit Feeling from Mistake.</t>
  </si>
  <si>
    <t>Recognize Retrospective requirement from Setup_Data, add to trade date.</t>
  </si>
  <si>
    <t>Populate KPI2 and 3 data from the TradeLog</t>
  </si>
  <si>
    <t>Reminders:</t>
  </si>
  <si>
    <t>Journal: 30D retro needs to be performed to determine if I was right or not. Probably can be automated based on Price.</t>
  </si>
  <si>
    <t>Retro: Perform due Retros</t>
  </si>
  <si>
    <t>Ideas: Taken ideas are missing a TradeID</t>
  </si>
  <si>
    <t>Document Scope</t>
  </si>
  <si>
    <t>This document's purpose is to keep track of the trades and analysis carried on a weekly basis.</t>
  </si>
  <si>
    <t>This document will record the weekly market one page summaries so we can record an evolution of these analyses. The current one pager is shown as quick notes in OneNote.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</si>
  <si>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</si>
  <si>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</si>
  <si>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</si>
  <si>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To Dos</t>
  </si>
  <si>
    <t>A summary of all pending tasks open in the Journal.</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</si>
  <si>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</si>
  <si>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</si>
  <si>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</si>
  <si>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</si>
  <si>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Shows the expected market trend for the week and day. Shows most attractive stocks to trade today and a quick why, as well as key levels to watch.</t>
  </si>
  <si>
    <t>A journal where I can put a stock information accross time. What pattern is governing, how it's behaving, important levels, etc. A collection of all my notes every time I've analyzed the stock.</t>
  </si>
  <si>
    <t>This log will keep track of all the trades we carry, including entry price, exit, tags and strategies which will be used for retrospectives. Based off Tradersyncs Export. Only fully executed trades will be included.</t>
  </si>
  <si>
    <t>TraderSync,Journal</t>
  </si>
  <si>
    <t>Confirmation,SPY RSI H trend,Favorable Relativeness,RR</t>
  </si>
  <si>
    <t>HQ= confirmation + 2,MQ= confirmation + 1,LQ= early + 1</t>
  </si>
  <si>
    <t>Size of the trade will need to be improved,Options versus stock will need definition,Early entries worth it or not,Come up with an RR value,Correlation of confirmation bias</t>
  </si>
  <si>
    <t>0.1</t>
  </si>
  <si>
    <t>Profit factor,Avrg Return,Best Exit</t>
  </si>
  <si>
    <t>CSH,Confirmation,Relativeness,Quality,Direction,Execution</t>
  </si>
  <si>
    <t>Hourly chart,Enter when the candle close crosses the 34-50 cloud.</t>
  </si>
  <si>
    <t>Improving enter criteria (my view over Rich's),Improving exit criteria (profit margin, wait for Rich, $ amount or %)</t>
  </si>
  <si>
    <t>Profit Factor,Avg Return,Best Exit</t>
  </si>
  <si>
    <t>Rich SPY,Confirmation,Execution</t>
  </si>
  <si>
    <t>Watchlist,MACD Scanner,Relative Scanner</t>
  </si>
  <si>
    <t>Daily chart.,Enter when the candle close crosses the 34-50 cloud.</t>
  </si>
  <si>
    <t>Confirmation,SPY RSI D trend,Favorable Relativeness,RR</t>
  </si>
  <si>
    <t xml:space="preserve">Exited as defined in the criteria or not.,Max gain analysis. </t>
  </si>
  <si>
    <t>CSD,Confirmation,Relativeness,Quality,Direction,Execution</t>
  </si>
  <si>
    <t>Watchlist,MACD Scanner,Relative Scanner,Momentum Scanner</t>
  </si>
  <si>
    <t>10m chart,Enter when the candle close crosses the 34-50 cloud.</t>
  </si>
  <si>
    <t>CSDT,Confirmation,Relativeness,Quality,Direction,Execution</t>
  </si>
  <si>
    <t>10m chart,Enter when the 34-50 clouds crosses a pivot line.</t>
  </si>
  <si>
    <t>Size of the trade will need to be improved,Options versus stock will need definition,Early entries worth it or not,Come up with an RR value,Correlation of confirmation bias,Determine which pivot points are best.</t>
  </si>
  <si>
    <t xml:space="preserve">Exited as defined in the criteria or not,Max gain analysis. </t>
  </si>
  <si>
    <t>CSDTV,Confirmation,Relativeness,Quality,Direction,Execution,Pivot Point</t>
  </si>
  <si>
    <t>Watchlist,MACD Scanner,Relative Scanner,Alerts</t>
  </si>
  <si>
    <t>D chart,Enter when confirmation happens at a strong level</t>
  </si>
  <si>
    <t>Size of the trade will need to be improved,Options versus stock will need definition,Early entries worth it or not,Come up with an RR value,Correlation of confirmation bias,Determine which pivot points are best.,Reversal vs Continuation analysis</t>
  </si>
  <si>
    <t>Exited as defined in the criteria or not,Max gain analysis. ,Optimization of taking profits along the way</t>
  </si>
  <si>
    <t>SW,Confirmation,Relativeness,Quality,Direction,Execution,Pivot Point</t>
  </si>
  <si>
    <t>10m Chart,Enter when the first candle closes favorable (big wick, reversal close), join the reversal.</t>
  </si>
  <si>
    <t>Confirmation is defined as a candle closing below previous candle low,Retested is defined as pivot point failed a second a time</t>
  </si>
  <si>
    <t>Confirmation,SPY RSI H trend,Favorable Relativeness,Retested</t>
  </si>
  <si>
    <t>Size of the trade will need to be improved,Options versus stock will need definition,Early entries worth it or not,Find if it's worth confirmation of a candle close,Find which lines work best as pivot points,Find relation with market trend as confirmation bias,See if 5m chart works better,Find if retested and a second fail can work as better confirmation</t>
  </si>
  <si>
    <t>SLQT,Confirmation,Relativeness,Quality,Execution,Pivot Point</t>
  </si>
  <si>
    <t>Need backtesting to check what lines work better,See if an RR can be defined by waiting for the first candle to close</t>
  </si>
  <si>
    <t>10m Chart,Enter when daily defined levels are broken or failed to be broken by candle close</t>
  </si>
  <si>
    <t>Size of the trade will need to be improved,Options versus stock will need definition,Early entries worth it or not,Find if it's worth confirmation of a candle close,Find relation with market trend as confirmation bias,See if 5m chart works better</t>
  </si>
  <si>
    <t>DT,Confirmation,Relativeness,Quality,Execution,Pivot Point</t>
  </si>
  <si>
    <t/>
  </si>
  <si>
    <t>ZM,Confirmation,Execution,ZM SPY</t>
  </si>
  <si>
    <t>Rich Stock Swings,Confirmation,Execution</t>
  </si>
  <si>
    <t>Strategy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</si>
</sst>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quot;$&quot;#,##0.00"/>
    <numFmt numFmtId="165" formatCode="yyyy\-mm\-dd\ h:mm:ss"/>
  </numFmts>
  <fonts count="16"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sz val="11"/>
      <color rgb="FF0070C0"/>
      <name val="Calibri"/>
      <family val="2"/>
      <scheme val="minor"/>
    </font>
    <font>
      <sz val="11"/>
      <name val="Calibri"/>
      <family val="2"/>
    </font>
    <font>
      <b/>
      <i/>
      <sz val="11"/>
      <color rgb="FF00B050"/>
      <name val="Calibri"/>
      <family val="2"/>
      <scheme val="minor"/>
    </font>
    <font>
      <b/>
      <i/>
      <sz val="11"/>
      <color rgb="FF0070C0"/>
      <name val="Calibri"/>
      <family val="2"/>
      <scheme val="mino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0" fontId="5" fillId="0" borderId="1"/>
    <xf numFmtId="0" fontId="7" fillId="0" borderId="1"/>
    <xf numFmtId="0" fontId="6" fillId="0" borderId="1"/>
    <xf numFmtId="9" fontId="8" fillId="0" borderId="1"/>
    <xf numFmtId="164" fontId="13" fillId="0" borderId="1"/>
  </cellStyleXfs>
  <cellXfs count="33">
    <xf numFmtId="0" fontId="0" fillId="0" borderId="0" xfId="0" applyBorder="1"/>
    <xf numFmtId="0" fontId="1" fillId="0" borderId="0" xfId="0" applyFont="1" applyBorder="1"/>
    <xf numFmtId="0" fontId="0" fillId="0" borderId="0" xfId="0" applyBorder="1" applyAlignment="1">
      <alignment horizontal="left" vertical="center"/>
    </xf>
    <xf numFmtId="14"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2" fillId="0" borderId="0" xfId="0" applyFont="1" applyBorder="1" applyAlignment="1">
      <alignment horizontal="left" vertical="center"/>
    </xf>
    <xf numFmtId="0" fontId="3" fillId="0" borderId="0" xfId="0" applyFont="1" applyBorder="1" applyAlignment="1">
      <alignment horizontal="left" vertical="center"/>
    </xf>
    <xf numFmtId="14" fontId="4" fillId="0" borderId="0" xfId="0" applyNumberFormat="1" applyFont="1" applyBorder="1" applyAlignment="1">
      <alignment horizontal="left" vertical="center"/>
    </xf>
    <xf numFmtId="164"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14" fontId="0" fillId="0" borderId="0" xfId="0" applyNumberFormat="1" applyBorder="1"/>
    <xf numFmtId="9" fontId="0" fillId="0" borderId="0" xfId="4" applyFont="1" applyBorder="1"/>
    <xf numFmtId="9" fontId="9" fillId="0" borderId="0" xfId="4" applyFont="1" applyBorder="1"/>
    <xf numFmtId="0" fontId="9" fillId="0" borderId="0" xfId="0" applyFont="1" applyBorder="1"/>
    <xf numFmtId="0" fontId="10" fillId="0" borderId="0" xfId="0" applyFont="1" applyBorder="1"/>
    <xf numFmtId="0" fontId="11" fillId="0" borderId="0" xfId="0" applyFont="1" applyBorder="1"/>
    <xf numFmtId="0" fontId="12" fillId="0" borderId="0" xfId="0" applyFont="1" applyBorder="1"/>
    <xf numFmtId="164" fontId="9" fillId="0" borderId="0" xfId="0" applyNumberFormat="1" applyFont="1" applyBorder="1"/>
    <xf numFmtId="0" fontId="12" fillId="0" borderId="0" xfId="0" applyFont="1" applyBorder="1" applyAlignment="1">
      <alignment horizontal="left" vertical="center"/>
    </xf>
    <xf numFmtId="14" fontId="12" fillId="0" borderId="0" xfId="0" applyNumberFormat="1" applyFont="1" applyBorder="1" applyAlignment="1">
      <alignment horizontal="left" vertical="center"/>
    </xf>
    <xf numFmtId="164" fontId="12" fillId="0" borderId="0" xfId="0" applyNumberFormat="1" applyFont="1" applyBorder="1" applyAlignment="1">
      <alignment horizontal="left" vertical="center"/>
    </xf>
    <xf numFmtId="4" fontId="0" fillId="0" borderId="0" xfId="0" applyNumberFormat="1" applyBorder="1" applyAlignment="1">
      <alignment horizontal="left" vertical="center"/>
    </xf>
    <xf numFmtId="14" fontId="12" fillId="0" borderId="0" xfId="0" applyNumberFormat="1" applyFont="1" applyBorder="1"/>
    <xf numFmtId="0" fontId="0" fillId="0" borderId="0" xfId="0" applyBorder="1" applyAlignment="1">
      <alignment wrapText="1"/>
    </xf>
    <xf numFmtId="14" fontId="9" fillId="0" borderId="0" xfId="0" applyNumberFormat="1" applyFont="1" applyBorder="1"/>
    <xf numFmtId="7" fontId="0" fillId="0" borderId="0" xfId="0" applyNumberFormat="1" applyBorder="1"/>
    <xf numFmtId="0" fontId="9" fillId="0" borderId="1" xfId="0" applyFont="1"/>
    <xf numFmtId="0" fontId="14" fillId="0" borderId="0" xfId="0" applyFont="1" applyBorder="1"/>
    <xf numFmtId="0" fontId="15" fillId="0" borderId="0" xfId="0" applyFont="1" applyBorder="1"/>
    <xf numFmtId="165" fontId="0" fillId="0" borderId="0" xfId="0" applyNumberFormat="1" applyBorder="1"/>
    <xf numFmtId="10" fontId="0" fillId="0" borderId="0" xfId="0" applyNumberFormat="1" applyBorder="1"/>
    <xf numFmtId="0" fontId="1" fillId="0" borderId="1" xfId="0" applyFont="1"/>
  </cellXfs>
  <cellStyles count="6">
    <cellStyle name="currency" xfId="5" xr:uid="{00000000-0005-0000-0000-000005000000}"/>
    <cellStyle name="Hyperlink 2" xfId="3" xr:uid="{00000000-0005-0000-0000-000003000000}"/>
    <cellStyle name="Normal" xfId="0" builtinId="0"/>
    <cellStyle name="Normal 2" xfId="2" xr:uid="{00000000-0005-0000-0000-000002000000}"/>
    <cellStyle name="Normal 3" xfId="1" xr:uid="{00000000-0005-0000-0000-000001000000}"/>
    <cellStyle name="Percent" xfId="4" builtinId="5"/>
  </cellStyles>
  <dxfs count="26">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164" formatCode="&quot;$&quot;#,##0.00"/>
    </dxf>
    <dxf>
      <font>
        <strike val="0"/>
        <outline val="0"/>
        <shadow val="0"/>
        <vertAlign val="baseline"/>
        <sz val="10"/>
        <color theme="1"/>
        <name val="Calibri"/>
        <family val="2"/>
        <scheme val="minor"/>
      </font>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4" formatCode="#,##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9" formatCode="m/d/yyyy"/>
    </dxf>
    <dxf>
      <font>
        <strike val="0"/>
        <condense val="0"/>
        <extend val="0"/>
        <outline val="0"/>
        <shadow val="0"/>
        <vertAlign val="baseline"/>
        <sz val="10"/>
        <color auto="1"/>
        <name val="Calibri"/>
        <family val="2"/>
        <scheme val="minor"/>
      </font>
    </dxf>
    <dxf>
      <font>
        <strike val="0"/>
        <outline val="0"/>
        <shadow val="0"/>
        <vertAlign val="baseline"/>
        <sz val="10"/>
        <name val="Calibri"/>
        <family val="2"/>
        <scheme val="minor"/>
      </font>
    </dxf>
    <dxf>
      <numFmt numFmtId="164" formatCode="&quot;$&quot;#,##0.00"/>
    </dxf>
    <dxf>
      <font>
        <b/>
        <i/>
        <color theme="3"/>
      </font>
      <fill>
        <patternFill>
          <bgColor theme="4" tint="0.79998168889431442"/>
        </patternFill>
      </fill>
      <border>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left/>
        <right/>
        <top/>
        <bottom style="thin">
          <color theme="4"/>
        </bottom>
        <vertical/>
        <horizontal/>
      </border>
    </dxf>
    <dxf>
      <font>
        <b/>
        <i/>
        <color theme="3"/>
      </font>
      <fill>
        <patternFill>
          <fgColor auto="1"/>
          <bgColor auto="1"/>
        </patternFill>
      </fill>
      <border>
        <left/>
        <right/>
        <top/>
        <bottom/>
        <vertical/>
        <horizontal/>
      </border>
    </dxf>
    <dxf>
      <font>
        <b/>
        <i/>
        <color theme="3"/>
      </font>
      <fill>
        <patternFill patternType="solid">
          <fgColor theme="8" tint="0.79989013336588644"/>
          <bgColor theme="0" tint="-4.9989318521683403E-2"/>
        </patternFill>
      </fill>
      <border>
        <left/>
        <right/>
        <top/>
        <bottom style="thin">
          <color theme="4"/>
        </bottom>
        <vertical/>
        <horizontal/>
      </border>
    </dxf>
  </dxfs>
  <tableStyles count="1" defaultTableStyle="TableStyleMedium2" defaultPivotStyle="PivotStyleLight16">
    <tableStyle name="CustomerProfitabilityAnalysis_table2" pivot="0" count="5" xr9:uid="{00000000-0011-0000-FFFF-FFFF00000000}">
      <tableStyleElement type="wholeTable" dxfId="25"/>
      <tableStyleElement type="headerRow" dxfId="24"/>
      <tableStyleElement type="firstColumn" dxfId="23"/>
      <tableStyleElement type="lastColumn" dxfId="22"/>
      <tableStyleElement type="firstRowStripe" dxfId="2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57" totalsRowShown="0" headerRowDxfId="20" dataDxfId="19">
  <autoFilter ref="A1:U57" xr:uid="{00000000-0009-0000-0100-000001000000}"/>
  <tableColumns count="21">
    <tableColumn id="1" xr3:uid="{00000000-0010-0000-0000-000001000000}" name="Ticker" dataDxfId="18"/>
    <tableColumn id="2" xr3:uid="{00000000-0010-0000-0000-000002000000}" name="Date" dataDxfId="17"/>
    <tableColumn id="3" xr3:uid="{00000000-0010-0000-0000-000003000000}" name="Current Price" dataDxfId="16"/>
    <tableColumn id="4" xr3:uid="{00000000-0010-0000-0000-000004000000}" name="Target Entry" dataDxfId="15"/>
    <tableColumn id="5" xr3:uid="{00000000-0010-0000-0000-000005000000}" name="Target Price" dataDxfId="14"/>
    <tableColumn id="6" xr3:uid="{00000000-0010-0000-0000-000006000000}" name="Stop" dataDxfId="13"/>
    <tableColumn id="7" xr3:uid="{00000000-0010-0000-0000-000007000000}" name="RR Ratio" dataDxfId="12">
      <calculatedColumnFormula>(Table2[[#This Row],[Target Price]]-Table2[[#This Row],[Target Entry]])/(Table2[[#This Row],[Target Entry]]-Table2[[#This Row],[Stop]])</calculatedColumnFormula>
    </tableColumn>
    <tableColumn id="8" xr3:uid="{00000000-0010-0000-0000-000008000000}" name="Trade Direction" dataDxfId="11"/>
    <tableColumn id="10" xr3:uid="{00000000-0010-0000-0000-00000A000000}" name="Strategy" dataDxfId="10"/>
    <tableColumn id="20" xr3:uid="{00000000-0010-0000-0000-000014000000}" name="Market"/>
    <tableColumn id="19" xr3:uid="{00000000-0010-0000-0000-000013000000}" name="Relative"/>
    <tableColumn id="11" xr3:uid="{00000000-0010-0000-0000-00000B000000}" name="1hr Trend" dataDxfId="9"/>
    <tableColumn id="14" xr3:uid="{00000000-0010-0000-0000-00000E000000}" name="1hr Cloud" dataDxfId="8"/>
    <tableColumn id="15" xr3:uid="{00000000-0010-0000-0000-00000F000000}" name="Intended Position" dataDxfId="7"/>
    <tableColumn id="18" xr3:uid="{00000000-0010-0000-0000-000012000000}" name="To win Money" dataDxfId="6">
      <calculatedColumnFormula>IF(Table2[[#This Row],[Trade Direction]]="Short",Table2[[#This Row],[Target Entry]]-Table2[[#This Row],[Target Price]],Table2[[#This Row],[Target Price]]-Table2[[#This Row],[Target Entry]])*Table2[[#This Row],[Intended Position]]</calculatedColumnFormula>
    </tableColumn>
    <tableColumn id="16" xr3:uid="{00000000-0010-0000-0000-000010000000}" name="Money Risk" dataDxfId="5">
      <calculatedColumnFormula>IF(Table2[[#This Row],[Trade Direction]]="Short",Table2[[#This Row],[Target Entry]]-Table2[[#This Row],[Stop]],Table2[[#This Row],[Stop]]-Table2[[#This Row],[Target Entry]])*Table2[[#This Row],[Intended Position]]</calculatedColumnFormula>
    </tableColumn>
    <tableColumn id="9" xr3:uid="{00000000-0010-0000-0000-000009000000}" name="Notes" dataDxfId="4"/>
    <tableColumn id="17" xr3:uid="{00000000-0010-0000-0000-000011000000}" name="Sourced" dataDxfId="3"/>
    <tableColumn id="12" xr3:uid="{00000000-0010-0000-0000-00000C000000}" name="Quality" dataDxfId="2"/>
    <tableColumn id="13" xr3:uid="{00000000-0010-0000-0000-00000D000000}" name="Filter" dataDxfId="1"/>
    <tableColumn id="23" xr3:uid="{00000000-0010-0000-0000-000017000000}" name="Trade ID"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
  <sheetViews>
    <sheetView workbookViewId="0">
      <selection activeCell="L20" sqref="L20"/>
    </sheetView>
  </sheetViews>
  <sheetFormatPr defaultRowHeight="14.5" x14ac:dyDescent="0.35"/>
  <sheetData>
    <row r="1" spans="1:2" x14ac:dyDescent="0.35">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
  <sheetViews>
    <sheetView workbookViewId="0">
      <selection activeCell="A2" sqref="A2"/>
    </sheetView>
  </sheetViews>
  <sheetFormatPr defaultRowHeight="14.5" x14ac:dyDescent="0.35"/>
  <cols>
    <col min="1" max="1" width="19.26953125" style="11" customWidth="1"/>
  </cols>
  <sheetData>
    <row r="1" spans="1:6" x14ac:dyDescent="0.35">
      <c r="A1" s="25" t="s">
        <v>2</v>
      </c>
      <c r="B1" s="14" t="s">
        <v>3</v>
      </c>
      <c r="C1" s="14" t="s">
        <v>4</v>
      </c>
      <c r="D1" s="14" t="s">
        <v>5</v>
      </c>
      <c r="E1" s="14" t="s">
        <v>6</v>
      </c>
      <c r="F1" t="s">
        <v>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M16"/>
  <sheetViews>
    <sheetView tabSelected="1" zoomScaleNormal="100" workbookViewId="0">
      <selection activeCell="G2" sqref="G2"/>
    </sheetView>
  </sheetViews>
  <sheetFormatPr defaultRowHeight="14.5" customHeight="1" x14ac:dyDescent="0.35"/>
  <cols>
    <col min="1" max="1" width="10.7265625" style="1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ht="14.5" customHeight="1" x14ac:dyDescent="0.35">
      <c r="A1" s="23" t="s">
        <v>2</v>
      </c>
      <c r="B1" s="17" t="s">
        <v>3</v>
      </c>
      <c r="C1" s="17" t="s">
        <v>8</v>
      </c>
      <c r="D1" s="17" t="s">
        <v>9</v>
      </c>
      <c r="E1" s="17" t="s">
        <v>10</v>
      </c>
      <c r="F1" s="17" t="s">
        <v>11</v>
      </c>
      <c r="G1" s="17" t="s">
        <v>12</v>
      </c>
      <c r="H1" s="17" t="s">
        <v>5</v>
      </c>
      <c r="I1" s="17" t="s">
        <v>6</v>
      </c>
      <c r="J1" s="17" t="s">
        <v>4</v>
      </c>
      <c r="K1" s="17" t="s">
        <v>13</v>
      </c>
      <c r="L1" s="17" t="s">
        <v>14</v>
      </c>
      <c r="M1" s="17" t="s">
        <v>15</v>
      </c>
    </row>
    <row r="2" spans="1:13" ht="14.5" customHeight="1" x14ac:dyDescent="0.35">
      <c r="A2" s="11">
        <v>45445</v>
      </c>
      <c r="B2" t="s">
        <v>16</v>
      </c>
      <c r="C2">
        <v>100</v>
      </c>
      <c r="D2" t="s">
        <v>17</v>
      </c>
      <c r="E2" t="s">
        <v>17</v>
      </c>
      <c r="F2" t="s">
        <v>18</v>
      </c>
      <c r="G2" t="s">
        <v>19</v>
      </c>
      <c r="H2">
        <v>90</v>
      </c>
      <c r="I2">
        <v>150</v>
      </c>
      <c r="J2" t="s">
        <v>20</v>
      </c>
      <c r="L2" s="24" t="s">
        <v>21</v>
      </c>
    </row>
    <row r="3" spans="1:13" ht="14.5" customHeight="1" x14ac:dyDescent="0.35">
      <c r="A3" s="11">
        <v>45445</v>
      </c>
      <c r="B3" t="s">
        <v>22</v>
      </c>
      <c r="C3">
        <v>110</v>
      </c>
      <c r="D3" t="s">
        <v>23</v>
      </c>
      <c r="E3" t="s">
        <v>17</v>
      </c>
      <c r="F3" t="s">
        <v>18</v>
      </c>
      <c r="G3" t="s">
        <v>19</v>
      </c>
      <c r="H3">
        <v>5.5</v>
      </c>
      <c r="I3">
        <v>3020.8</v>
      </c>
      <c r="J3" t="s">
        <v>20</v>
      </c>
      <c r="L3" t="s">
        <v>24</v>
      </c>
    </row>
    <row r="4" spans="1:13" ht="14.5" customHeight="1" x14ac:dyDescent="0.35">
      <c r="A4" s="11">
        <v>45425</v>
      </c>
      <c r="B4" t="s">
        <v>25</v>
      </c>
      <c r="C4">
        <v>120</v>
      </c>
      <c r="D4" t="s">
        <v>23</v>
      </c>
      <c r="E4" t="s">
        <v>17</v>
      </c>
      <c r="F4" t="s">
        <v>18</v>
      </c>
      <c r="G4" t="s">
        <v>19</v>
      </c>
      <c r="H4">
        <v>5.5</v>
      </c>
      <c r="I4">
        <v>3020.8</v>
      </c>
      <c r="J4" t="s">
        <v>20</v>
      </c>
      <c r="L4" t="s">
        <v>26</v>
      </c>
    </row>
    <row r="5" spans="1:13" ht="14.5" customHeight="1" x14ac:dyDescent="0.35">
      <c r="A5" s="11">
        <v>45425</v>
      </c>
      <c r="B5" t="s">
        <v>27</v>
      </c>
      <c r="C5">
        <v>130</v>
      </c>
      <c r="D5" t="s">
        <v>23</v>
      </c>
      <c r="E5" t="s">
        <v>23</v>
      </c>
      <c r="F5" t="s">
        <v>18</v>
      </c>
      <c r="G5" t="s">
        <v>19</v>
      </c>
      <c r="H5">
        <v>5.5</v>
      </c>
      <c r="I5">
        <v>3020.8</v>
      </c>
      <c r="J5" t="s">
        <v>20</v>
      </c>
      <c r="L5" t="s">
        <v>28</v>
      </c>
      <c r="M5" t="s">
        <v>29</v>
      </c>
    </row>
    <row r="6" spans="1:13" ht="14.5" customHeight="1" x14ac:dyDescent="0.35">
      <c r="A6" s="11">
        <v>45425</v>
      </c>
      <c r="B6" t="s">
        <v>30</v>
      </c>
      <c r="C6">
        <v>140</v>
      </c>
      <c r="D6" t="s">
        <v>23</v>
      </c>
      <c r="E6" t="s">
        <v>23</v>
      </c>
      <c r="F6" t="s">
        <v>18</v>
      </c>
      <c r="G6" t="s">
        <v>31</v>
      </c>
      <c r="H6">
        <v>5.5</v>
      </c>
      <c r="I6">
        <v>3020.8</v>
      </c>
      <c r="J6" t="s">
        <v>20</v>
      </c>
      <c r="L6" t="s">
        <v>24</v>
      </c>
    </row>
    <row r="7" spans="1:13" ht="14.5" customHeight="1" x14ac:dyDescent="0.35">
      <c r="A7" s="11">
        <v>45425</v>
      </c>
      <c r="B7" t="s">
        <v>32</v>
      </c>
      <c r="C7">
        <v>150</v>
      </c>
      <c r="D7" t="s">
        <v>23</v>
      </c>
      <c r="E7" t="s">
        <v>23</v>
      </c>
      <c r="F7" t="s">
        <v>18</v>
      </c>
      <c r="G7" t="s">
        <v>33</v>
      </c>
      <c r="H7">
        <v>5.5</v>
      </c>
      <c r="I7">
        <v>3020.8</v>
      </c>
      <c r="J7" t="s">
        <v>20</v>
      </c>
      <c r="L7" t="s">
        <v>34</v>
      </c>
    </row>
    <row r="8" spans="1:13" ht="14.5" customHeight="1" x14ac:dyDescent="0.35">
      <c r="A8" s="11">
        <v>45425</v>
      </c>
      <c r="B8" t="s">
        <v>35</v>
      </c>
      <c r="C8">
        <v>160</v>
      </c>
      <c r="D8" t="s">
        <v>17</v>
      </c>
      <c r="E8" t="s">
        <v>23</v>
      </c>
      <c r="F8" t="s">
        <v>36</v>
      </c>
      <c r="G8" t="s">
        <v>37</v>
      </c>
      <c r="H8">
        <v>5.5</v>
      </c>
      <c r="I8">
        <v>3020.8</v>
      </c>
      <c r="J8" t="s">
        <v>20</v>
      </c>
      <c r="L8" t="s">
        <v>38</v>
      </c>
      <c r="M8" t="s">
        <v>29</v>
      </c>
    </row>
    <row r="9" spans="1:13" ht="14.5" customHeight="1" x14ac:dyDescent="0.35">
      <c r="A9" s="11">
        <v>45425</v>
      </c>
      <c r="B9" t="s">
        <v>39</v>
      </c>
      <c r="C9">
        <v>170</v>
      </c>
      <c r="D9" t="s">
        <v>17</v>
      </c>
      <c r="E9" t="s">
        <v>23</v>
      </c>
      <c r="F9" t="s">
        <v>36</v>
      </c>
      <c r="G9" t="s">
        <v>37</v>
      </c>
      <c r="H9">
        <v>85</v>
      </c>
      <c r="I9">
        <v>120.5</v>
      </c>
      <c r="J9" t="s">
        <v>20</v>
      </c>
      <c r="L9" t="s">
        <v>40</v>
      </c>
      <c r="M9" t="s">
        <v>29</v>
      </c>
    </row>
    <row r="10" spans="1:13" ht="14.5" customHeight="1" x14ac:dyDescent="0.35">
      <c r="A10" s="11">
        <v>45425</v>
      </c>
    </row>
    <row r="11" spans="1:13" ht="14.5" customHeight="1" x14ac:dyDescent="0.35">
      <c r="A11" s="11">
        <v>45425</v>
      </c>
    </row>
    <row r="12" spans="1:13" ht="14.5" customHeight="1" x14ac:dyDescent="0.35">
      <c r="A12" s="11">
        <v>45425</v>
      </c>
      <c r="B12" t="s">
        <v>39</v>
      </c>
      <c r="C12">
        <v>130</v>
      </c>
      <c r="D12" t="s">
        <v>17</v>
      </c>
      <c r="E12" t="s">
        <v>23</v>
      </c>
      <c r="F12" t="s">
        <v>36</v>
      </c>
      <c r="G12" t="s">
        <v>37</v>
      </c>
      <c r="H12">
        <v>85</v>
      </c>
      <c r="I12">
        <v>120.5</v>
      </c>
      <c r="J12" t="s">
        <v>20</v>
      </c>
      <c r="L12" t="s">
        <v>40</v>
      </c>
      <c r="M12" t="s">
        <v>29</v>
      </c>
    </row>
    <row r="13" spans="1:13" ht="14.5" customHeight="1" x14ac:dyDescent="0.35">
      <c r="A13" s="11">
        <v>45426</v>
      </c>
      <c r="B13" t="s">
        <v>41</v>
      </c>
      <c r="C13">
        <v>100</v>
      </c>
      <c r="D13" t="s">
        <v>17</v>
      </c>
      <c r="E13" t="s">
        <v>17</v>
      </c>
      <c r="F13" t="s">
        <v>18</v>
      </c>
      <c r="G13" t="s">
        <v>19</v>
      </c>
      <c r="H13">
        <v>90</v>
      </c>
      <c r="I13">
        <v>150</v>
      </c>
      <c r="J13" t="s">
        <v>20</v>
      </c>
      <c r="L13" s="24" t="s">
        <v>21</v>
      </c>
      <c r="M13" t="s">
        <v>29</v>
      </c>
    </row>
    <row r="14" spans="1:13" ht="14.5" customHeight="1" x14ac:dyDescent="0.35">
      <c r="A14" s="11">
        <v>45426</v>
      </c>
      <c r="B14" t="s">
        <v>42</v>
      </c>
      <c r="C14">
        <v>100</v>
      </c>
      <c r="D14" t="s">
        <v>17</v>
      </c>
      <c r="E14" t="s">
        <v>17</v>
      </c>
      <c r="F14" t="s">
        <v>18</v>
      </c>
      <c r="G14" t="s">
        <v>19</v>
      </c>
      <c r="H14">
        <v>90</v>
      </c>
      <c r="I14">
        <v>150</v>
      </c>
      <c r="J14" t="s">
        <v>20</v>
      </c>
      <c r="L14" s="24" t="s">
        <v>21</v>
      </c>
    </row>
    <row r="15" spans="1:13" ht="14.5" customHeight="1" x14ac:dyDescent="0.35">
      <c r="A15" s="11">
        <v>45426</v>
      </c>
      <c r="B15" t="s">
        <v>43</v>
      </c>
      <c r="C15">
        <v>100</v>
      </c>
      <c r="D15" t="s">
        <v>17</v>
      </c>
      <c r="E15" t="s">
        <v>17</v>
      </c>
      <c r="F15" t="s">
        <v>18</v>
      </c>
      <c r="G15" t="s">
        <v>19</v>
      </c>
      <c r="H15">
        <v>90</v>
      </c>
      <c r="I15">
        <v>150</v>
      </c>
      <c r="J15" t="s">
        <v>20</v>
      </c>
      <c r="L15" s="24" t="s">
        <v>21</v>
      </c>
      <c r="M15" t="s">
        <v>29</v>
      </c>
    </row>
    <row r="16" spans="1:13" ht="14.5" customHeight="1" x14ac:dyDescent="0.35">
      <c r="A16" s="11">
        <v>45427</v>
      </c>
      <c r="B16" t="s">
        <v>44</v>
      </c>
      <c r="C16">
        <v>100</v>
      </c>
      <c r="D16" t="s">
        <v>17</v>
      </c>
      <c r="E16" t="s">
        <v>17</v>
      </c>
      <c r="F16" t="s">
        <v>18</v>
      </c>
      <c r="G16" t="s">
        <v>19</v>
      </c>
      <c r="H16">
        <v>90</v>
      </c>
      <c r="I16">
        <v>150</v>
      </c>
      <c r="J16" t="s">
        <v>20</v>
      </c>
      <c r="L16" s="24" t="s">
        <v>21</v>
      </c>
      <c r="M16" t="s">
        <v>29</v>
      </c>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BC8DE1C9-C5FD-4D03-B726-862587304C75}">
          <x14:formula1>
            <xm:f>'Dropdown List Tags'!$B$5:$E$5</xm:f>
          </x14:formula1>
          <xm:sqref>K2:K1048576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57"/>
  <sheetViews>
    <sheetView workbookViewId="0">
      <selection activeCell="M2" sqref="M2"/>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19" t="s">
        <v>45</v>
      </c>
      <c r="B1" s="20" t="s">
        <v>2</v>
      </c>
      <c r="C1" s="21" t="s">
        <v>8</v>
      </c>
      <c r="D1" s="21" t="s">
        <v>46</v>
      </c>
      <c r="E1" s="21" t="s">
        <v>47</v>
      </c>
      <c r="F1" s="21" t="s">
        <v>48</v>
      </c>
      <c r="G1" s="22" t="s">
        <v>49</v>
      </c>
      <c r="H1" s="19" t="s">
        <v>50</v>
      </c>
      <c r="I1" s="19" t="s">
        <v>51</v>
      </c>
      <c r="J1" s="19" t="s">
        <v>52</v>
      </c>
      <c r="K1" s="19" t="s">
        <v>53</v>
      </c>
      <c r="L1" s="19" t="s">
        <v>54</v>
      </c>
      <c r="M1" s="19" t="s">
        <v>55</v>
      </c>
      <c r="N1" s="21" t="s">
        <v>56</v>
      </c>
      <c r="O1" s="4" t="s">
        <v>57</v>
      </c>
      <c r="P1" s="4" t="s">
        <v>58</v>
      </c>
      <c r="Q1" s="21" t="s">
        <v>59</v>
      </c>
      <c r="R1" s="21" t="s">
        <v>60</v>
      </c>
      <c r="S1" s="21" t="s">
        <v>61</v>
      </c>
      <c r="T1" s="21" t="s">
        <v>62</v>
      </c>
      <c r="U1" s="18" t="s">
        <v>63</v>
      </c>
    </row>
    <row r="2" spans="1:21" x14ac:dyDescent="0.35">
      <c r="A2" s="5"/>
      <c r="B2" s="3"/>
      <c r="C2" s="4"/>
      <c r="D2" s="4"/>
      <c r="E2" s="4"/>
      <c r="F2" s="4"/>
      <c r="G2" s="22"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5"/>
    </row>
    <row r="3" spans="1:21" x14ac:dyDescent="0.35">
      <c r="A3" s="5"/>
      <c r="B3" s="3"/>
      <c r="C3" s="4"/>
      <c r="D3" s="4"/>
      <c r="E3" s="4"/>
      <c r="F3" s="4"/>
      <c r="G3" s="22"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5"/>
    </row>
    <row r="4" spans="1:21" x14ac:dyDescent="0.35">
      <c r="A4" s="5"/>
      <c r="B4" s="3"/>
      <c r="C4" s="4"/>
      <c r="D4" s="4"/>
      <c r="E4" s="4"/>
      <c r="F4" s="4"/>
      <c r="G4" s="22"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c r="U4" s="15"/>
    </row>
    <row r="5" spans="1:21" x14ac:dyDescent="0.35">
      <c r="A5" s="5"/>
      <c r="B5" s="3"/>
      <c r="C5" s="4"/>
      <c r="D5" s="4"/>
      <c r="E5" s="4"/>
      <c r="F5" s="4"/>
      <c r="G5" s="22"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5"/>
    </row>
    <row r="6" spans="1:21" x14ac:dyDescent="0.35">
      <c r="A6" s="5"/>
      <c r="B6" s="3"/>
      <c r="C6" s="4"/>
      <c r="D6" s="4"/>
      <c r="E6" s="4"/>
      <c r="F6" s="4"/>
      <c r="G6" s="22"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5"/>
    </row>
    <row r="7" spans="1:21" x14ac:dyDescent="0.35">
      <c r="A7" s="5"/>
      <c r="B7" s="3"/>
      <c r="C7" s="4"/>
      <c r="D7" s="4"/>
      <c r="E7" s="4"/>
      <c r="F7" s="4"/>
      <c r="G7" s="22"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5"/>
    </row>
    <row r="8" spans="1:21" x14ac:dyDescent="0.35">
      <c r="A8" s="5"/>
      <c r="B8" s="3"/>
      <c r="C8" s="4"/>
      <c r="D8" s="4"/>
      <c r="E8" s="4"/>
      <c r="F8" s="4"/>
      <c r="G8" s="22"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5"/>
    </row>
    <row r="9" spans="1:21" x14ac:dyDescent="0.35">
      <c r="A9" s="5"/>
      <c r="B9" s="3"/>
      <c r="C9" s="4"/>
      <c r="D9" s="4"/>
      <c r="E9" s="4"/>
      <c r="F9" s="4"/>
      <c r="G9" s="22"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5"/>
    </row>
    <row r="10" spans="1:21" x14ac:dyDescent="0.35">
      <c r="A10" s="5"/>
      <c r="B10" s="3"/>
      <c r="C10" s="4"/>
      <c r="D10" s="4"/>
      <c r="E10" s="4"/>
      <c r="F10" s="4"/>
      <c r="G10" s="22"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5"/>
    </row>
    <row r="11" spans="1:21" x14ac:dyDescent="0.35">
      <c r="A11" s="5"/>
      <c r="B11" s="3"/>
      <c r="C11" s="4"/>
      <c r="D11" s="4"/>
      <c r="E11" s="4"/>
      <c r="F11" s="4"/>
      <c r="G11" s="22"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5"/>
    </row>
    <row r="12" spans="1:21" x14ac:dyDescent="0.35">
      <c r="A12" s="5"/>
      <c r="B12" s="3"/>
      <c r="C12" s="4"/>
      <c r="D12" s="4"/>
      <c r="E12" s="4"/>
      <c r="F12" s="4"/>
      <c r="G12" s="22"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5"/>
    </row>
    <row r="13" spans="1:21" x14ac:dyDescent="0.35">
      <c r="A13" s="5"/>
      <c r="B13" s="3"/>
      <c r="C13" s="4"/>
      <c r="D13" s="4"/>
      <c r="E13" s="4"/>
      <c r="F13" s="4"/>
      <c r="G13" s="22"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5"/>
    </row>
    <row r="14" spans="1:21" x14ac:dyDescent="0.35">
      <c r="A14" s="5"/>
      <c r="B14" s="3"/>
      <c r="C14" s="4"/>
      <c r="D14" s="4"/>
      <c r="E14" s="4"/>
      <c r="F14" s="4"/>
      <c r="G14" s="22"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5"/>
    </row>
    <row r="15" spans="1:21" x14ac:dyDescent="0.35">
      <c r="A15" s="5"/>
      <c r="B15" s="3"/>
      <c r="C15" s="4"/>
      <c r="D15" s="4"/>
      <c r="E15" s="4"/>
      <c r="F15" s="4"/>
      <c r="G15" s="22"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5"/>
    </row>
    <row r="16" spans="1:21" x14ac:dyDescent="0.35">
      <c r="A16" s="5"/>
      <c r="B16" s="3"/>
      <c r="C16" s="4"/>
      <c r="D16" s="4"/>
      <c r="E16" s="4"/>
      <c r="F16" s="4"/>
      <c r="G16" s="22"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5"/>
    </row>
    <row r="17" spans="1:21" x14ac:dyDescent="0.35">
      <c r="A17" s="5"/>
      <c r="B17" s="3"/>
      <c r="C17" s="4"/>
      <c r="D17" s="4"/>
      <c r="E17" s="4"/>
      <c r="F17" s="4"/>
      <c r="G17" s="22"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5"/>
    </row>
    <row r="18" spans="1:21" x14ac:dyDescent="0.35">
      <c r="A18" s="5"/>
      <c r="B18" s="3"/>
      <c r="C18" s="4"/>
      <c r="D18" s="4"/>
      <c r="E18" s="4"/>
      <c r="F18" s="4"/>
      <c r="G18" s="22"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5"/>
    </row>
    <row r="19" spans="1:21" x14ac:dyDescent="0.35">
      <c r="A19" s="5"/>
      <c r="B19" s="3"/>
      <c r="C19" s="4"/>
      <c r="D19" s="4"/>
      <c r="E19" s="4"/>
      <c r="F19" s="4"/>
      <c r="G19" s="22"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5"/>
    </row>
    <row r="20" spans="1:21" x14ac:dyDescent="0.35">
      <c r="A20" s="5"/>
      <c r="B20" s="3"/>
      <c r="C20" s="4"/>
      <c r="D20" s="4"/>
      <c r="E20" s="4"/>
      <c r="F20" s="4"/>
      <c r="G20" s="22"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5"/>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5"/>
    </row>
    <row r="22" spans="1:21" x14ac:dyDescent="0.35">
      <c r="A22" s="5"/>
      <c r="B22" s="3"/>
      <c r="C22" s="4"/>
      <c r="D22" s="4"/>
      <c r="E22" s="4"/>
      <c r="F22" s="4"/>
      <c r="G22" s="22"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5"/>
    </row>
    <row r="23" spans="1:21" x14ac:dyDescent="0.35">
      <c r="A23" s="5"/>
      <c r="B23" s="3"/>
      <c r="C23" s="4"/>
      <c r="D23" s="4"/>
      <c r="E23" s="4"/>
      <c r="F23" s="4"/>
      <c r="G23" s="22"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5"/>
    </row>
    <row r="24" spans="1:21" x14ac:dyDescent="0.35">
      <c r="A24" s="5"/>
      <c r="B24" s="3"/>
      <c r="C24" s="4"/>
      <c r="D24" s="4"/>
      <c r="E24" s="4"/>
      <c r="F24" s="4"/>
      <c r="G24" s="22"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5"/>
    </row>
    <row r="25" spans="1:21" x14ac:dyDescent="0.35">
      <c r="A25" s="5"/>
      <c r="B25" s="3"/>
      <c r="C25" s="4"/>
      <c r="D25" s="4"/>
      <c r="E25" s="4"/>
      <c r="F25" s="4"/>
      <c r="G25" s="22"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5"/>
    </row>
    <row r="26" spans="1:21" x14ac:dyDescent="0.35">
      <c r="A26" s="5"/>
      <c r="B26" s="3"/>
      <c r="C26" s="4"/>
      <c r="D26" s="4"/>
      <c r="E26" s="4"/>
      <c r="F26" s="4"/>
      <c r="G26" s="22"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5"/>
    </row>
    <row r="27" spans="1:21" x14ac:dyDescent="0.35">
      <c r="A27" s="5"/>
      <c r="B27" s="3"/>
      <c r="C27" s="4"/>
      <c r="D27" s="4"/>
      <c r="E27" s="4"/>
      <c r="F27" s="4"/>
      <c r="G27" s="22"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5"/>
    </row>
    <row r="28" spans="1:21" x14ac:dyDescent="0.35">
      <c r="A28" s="5"/>
      <c r="B28" s="3"/>
      <c r="C28" s="4"/>
      <c r="D28" s="4"/>
      <c r="E28" s="4"/>
      <c r="F28" s="4"/>
      <c r="G28" s="22"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5"/>
    </row>
    <row r="29" spans="1:21" x14ac:dyDescent="0.35">
      <c r="A29" s="5"/>
      <c r="B29" s="3"/>
      <c r="C29" s="4"/>
      <c r="D29" s="4"/>
      <c r="E29" s="4"/>
      <c r="F29" s="4"/>
      <c r="G29" s="22"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5"/>
    </row>
    <row r="30" spans="1:21" x14ac:dyDescent="0.35">
      <c r="A30" s="5"/>
      <c r="B30" s="3"/>
      <c r="C30" s="4"/>
      <c r="D30" s="4"/>
      <c r="E30" s="4"/>
      <c r="F30" s="4"/>
      <c r="G30" s="22"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5"/>
    </row>
    <row r="31" spans="1:21" x14ac:dyDescent="0.35">
      <c r="A31" s="5"/>
      <c r="B31" s="3"/>
      <c r="C31" s="4"/>
      <c r="D31" s="4"/>
      <c r="E31" s="4"/>
      <c r="F31" s="4"/>
      <c r="G31" s="22"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5"/>
    </row>
    <row r="32" spans="1:21" x14ac:dyDescent="0.35">
      <c r="A32" s="5"/>
      <c r="B32" s="3"/>
      <c r="C32" s="4"/>
      <c r="D32" s="4"/>
      <c r="E32" s="4"/>
      <c r="F32" s="4"/>
      <c r="G32" s="22"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5"/>
    </row>
    <row r="33" spans="1:21" x14ac:dyDescent="0.35">
      <c r="A33" s="5"/>
      <c r="B33" s="3"/>
      <c r="C33" s="4"/>
      <c r="D33" s="4"/>
      <c r="E33" s="4"/>
      <c r="F33" s="4"/>
      <c r="G33" s="22"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5"/>
    </row>
    <row r="34" spans="1:21" x14ac:dyDescent="0.35">
      <c r="A34" s="5"/>
      <c r="B34" s="3"/>
      <c r="C34" s="4"/>
      <c r="D34" s="4"/>
      <c r="E34" s="4"/>
      <c r="F34" s="4"/>
      <c r="G34" s="22"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5"/>
    </row>
    <row r="35" spans="1:21" x14ac:dyDescent="0.35">
      <c r="A35" s="5"/>
      <c r="B35" s="3"/>
      <c r="C35" s="4"/>
      <c r="D35" s="4"/>
      <c r="E35" s="4"/>
      <c r="F35" s="4"/>
      <c r="G35" s="22"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5"/>
    </row>
    <row r="36" spans="1:21" x14ac:dyDescent="0.35">
      <c r="A36" s="5"/>
      <c r="B36" s="3"/>
      <c r="C36" s="4"/>
      <c r="D36" s="4"/>
      <c r="E36" s="4"/>
      <c r="F36" s="4"/>
      <c r="G36" s="22"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5"/>
    </row>
    <row r="37" spans="1:21" x14ac:dyDescent="0.35">
      <c r="A37" s="5"/>
      <c r="B37" s="3"/>
      <c r="C37" s="4"/>
      <c r="D37" s="4"/>
      <c r="E37" s="4"/>
      <c r="F37" s="4"/>
      <c r="G37" s="22"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5"/>
    </row>
    <row r="38" spans="1:21" x14ac:dyDescent="0.35">
      <c r="A38" s="5"/>
      <c r="B38" s="3"/>
      <c r="C38" s="4"/>
      <c r="D38" s="4"/>
      <c r="E38" s="4"/>
      <c r="F38" s="4"/>
      <c r="G38" s="22"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5"/>
    </row>
    <row r="39" spans="1:21" x14ac:dyDescent="0.35">
      <c r="A39" s="5"/>
      <c r="B39" s="3"/>
      <c r="C39" s="4"/>
      <c r="D39" s="4"/>
      <c r="E39" s="4"/>
      <c r="F39" s="4"/>
      <c r="G39" s="22"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5"/>
    </row>
    <row r="40" spans="1:21" x14ac:dyDescent="0.35">
      <c r="A40" s="5"/>
      <c r="B40" s="3"/>
      <c r="C40" s="4"/>
      <c r="D40" s="4"/>
      <c r="E40" s="4"/>
      <c r="F40" s="4"/>
      <c r="G40" s="22"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5"/>
    </row>
    <row r="41" spans="1:21" x14ac:dyDescent="0.35">
      <c r="A41" s="5"/>
      <c r="B41" s="3"/>
      <c r="C41" s="4"/>
      <c r="D41" s="4"/>
      <c r="E41" s="4"/>
      <c r="F41" s="4"/>
      <c r="G41" s="22"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5"/>
    </row>
    <row r="42" spans="1:21" x14ac:dyDescent="0.35">
      <c r="A42" s="5"/>
      <c r="B42" s="3"/>
      <c r="C42" s="4"/>
      <c r="D42" s="4"/>
      <c r="E42" s="4"/>
      <c r="F42" s="4"/>
      <c r="G42" s="22"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5"/>
    </row>
    <row r="43" spans="1:21" x14ac:dyDescent="0.35">
      <c r="A43" s="5"/>
      <c r="B43" s="3"/>
      <c r="C43" s="4"/>
      <c r="D43" s="4"/>
      <c r="E43" s="4"/>
      <c r="F43" s="4"/>
      <c r="G43" s="22"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5"/>
    </row>
    <row r="44" spans="1:21" x14ac:dyDescent="0.35">
      <c r="A44" s="5"/>
      <c r="B44" s="3"/>
      <c r="C44" s="4"/>
      <c r="D44" s="4"/>
      <c r="E44" s="4"/>
      <c r="F44" s="4"/>
      <c r="G44" s="22"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5"/>
    </row>
    <row r="45" spans="1:21" x14ac:dyDescent="0.35">
      <c r="A45" s="5"/>
      <c r="B45" s="3"/>
      <c r="C45" s="4"/>
      <c r="D45" s="4"/>
      <c r="E45" s="4"/>
      <c r="F45" s="4"/>
      <c r="G45" s="22"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5"/>
    </row>
    <row r="46" spans="1:21" x14ac:dyDescent="0.35">
      <c r="A46" s="5"/>
      <c r="B46" s="3"/>
      <c r="C46" s="4"/>
      <c r="D46" s="4"/>
      <c r="E46" s="4"/>
      <c r="F46" s="4"/>
      <c r="G46" s="22"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5"/>
    </row>
    <row r="47" spans="1:21" x14ac:dyDescent="0.35">
      <c r="A47" s="5"/>
      <c r="B47" s="3"/>
      <c r="C47" s="4"/>
      <c r="D47" s="4"/>
      <c r="E47" s="4"/>
      <c r="F47" s="4"/>
      <c r="G47" s="22"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5"/>
    </row>
    <row r="48" spans="1:21" x14ac:dyDescent="0.35">
      <c r="A48" s="5"/>
      <c r="B48" s="3"/>
      <c r="C48" s="4"/>
      <c r="D48" s="4"/>
      <c r="E48" s="4"/>
      <c r="F48" s="4"/>
      <c r="G48" s="22"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5"/>
    </row>
    <row r="49" spans="1:21" x14ac:dyDescent="0.35">
      <c r="A49" s="5"/>
      <c r="B49" s="3"/>
      <c r="C49" s="4"/>
      <c r="D49" s="4"/>
      <c r="E49" s="4"/>
      <c r="F49" s="4"/>
      <c r="G49" s="22"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5"/>
    </row>
    <row r="50" spans="1:21" x14ac:dyDescent="0.35">
      <c r="A50" s="5"/>
      <c r="B50" s="3"/>
      <c r="C50" s="4"/>
      <c r="D50" s="4"/>
      <c r="E50" s="4"/>
      <c r="F50" s="4"/>
      <c r="G50" s="22"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5"/>
    </row>
    <row r="51" spans="1:21" x14ac:dyDescent="0.35">
      <c r="A51" s="5"/>
      <c r="B51" s="3"/>
      <c r="C51" s="4"/>
      <c r="D51" s="4"/>
      <c r="E51" s="4"/>
      <c r="F51" s="4"/>
      <c r="G51" s="22"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5"/>
    </row>
    <row r="52" spans="1:21" x14ac:dyDescent="0.35">
      <c r="A52" s="5"/>
      <c r="B52" s="3"/>
      <c r="C52" s="4"/>
      <c r="D52" s="4"/>
      <c r="E52" s="4"/>
      <c r="F52" s="4"/>
      <c r="G52" s="22"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5"/>
    </row>
    <row r="53" spans="1:21" x14ac:dyDescent="0.35">
      <c r="A53" s="5"/>
      <c r="B53" s="3"/>
      <c r="C53" s="4"/>
      <c r="D53" s="4"/>
      <c r="E53" s="4"/>
      <c r="F53" s="4"/>
      <c r="G53" s="22"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5"/>
    </row>
    <row r="54" spans="1:21" x14ac:dyDescent="0.35">
      <c r="A54" s="5"/>
      <c r="B54" s="3"/>
      <c r="C54" s="4"/>
      <c r="D54" s="4"/>
      <c r="E54" s="4"/>
      <c r="F54" s="4"/>
      <c r="G54" s="22"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5"/>
    </row>
    <row r="55" spans="1:21" x14ac:dyDescent="0.35">
      <c r="A55" s="5"/>
      <c r="B55" s="3"/>
      <c r="C55" s="4"/>
      <c r="D55" s="4"/>
      <c r="E55" s="4"/>
      <c r="F55" s="4"/>
      <c r="G55" s="22"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5"/>
    </row>
    <row r="56" spans="1:21" x14ac:dyDescent="0.35">
      <c r="A56" s="5"/>
      <c r="B56" s="3"/>
      <c r="C56" s="4"/>
      <c r="D56" s="4"/>
      <c r="E56" s="4"/>
      <c r="F56" s="4"/>
      <c r="G56" s="22"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5"/>
    </row>
    <row r="57" spans="1:21" x14ac:dyDescent="0.35">
      <c r="A57" s="5"/>
      <c r="B57" s="3"/>
      <c r="C57" s="4"/>
      <c r="D57" s="4"/>
      <c r="E57" s="4"/>
      <c r="F57" s="4"/>
      <c r="G57" s="22"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C25"/>
  <sheetViews>
    <sheetView workbookViewId="0">
      <selection activeCell="K7" sqref="K7"/>
    </sheetView>
  </sheetViews>
  <sheetFormatPr defaultRowHeight="14.5" x14ac:dyDescent="0.35"/>
  <cols>
    <col min="1" max="4" width="8.7265625" style="14" customWidth="1"/>
    <col min="5" max="5" width="10.54296875" style="14" customWidth="1"/>
    <col min="6" max="6" width="8.7265625" style="14" customWidth="1"/>
    <col min="7" max="7" width="18.08984375" style="14" customWidth="1"/>
    <col min="8" max="18" width="8.7265625" style="14" customWidth="1"/>
    <col min="19" max="20" width="8.7265625" style="27" customWidth="1"/>
    <col min="21" max="24" width="8.7265625" style="14" customWidth="1"/>
    <col min="25" max="25" width="14.81640625" style="12" customWidth="1"/>
    <col min="26" max="27" width="8.7265625" style="13" customWidth="1"/>
    <col min="28" max="29" width="8.7265625" style="14" customWidth="1"/>
  </cols>
  <sheetData>
    <row r="1" spans="1:29" x14ac:dyDescent="0.35">
      <c r="A1" s="14" t="s">
        <v>64</v>
      </c>
      <c r="B1" s="17" t="s">
        <v>63</v>
      </c>
      <c r="C1" s="14" t="s">
        <v>3</v>
      </c>
      <c r="D1" s="17" t="s">
        <v>60</v>
      </c>
      <c r="E1" s="14" t="s">
        <v>65</v>
      </c>
      <c r="F1" s="14" t="s">
        <v>66</v>
      </c>
      <c r="G1" s="14" t="s">
        <v>67</v>
      </c>
      <c r="H1" s="14" t="s">
        <v>68</v>
      </c>
      <c r="I1" s="14" t="s">
        <v>69</v>
      </c>
      <c r="J1" s="14" t="s">
        <v>70</v>
      </c>
      <c r="K1" s="14" t="s">
        <v>71</v>
      </c>
      <c r="L1" s="14" t="s">
        <v>72</v>
      </c>
      <c r="M1" s="14" t="s">
        <v>73</v>
      </c>
      <c r="N1" s="14" t="s">
        <v>74</v>
      </c>
      <c r="O1" s="14" t="s">
        <v>75</v>
      </c>
      <c r="P1" s="14" t="s">
        <v>76</v>
      </c>
      <c r="Q1" s="14" t="s">
        <v>77</v>
      </c>
      <c r="R1" s="14" t="s">
        <v>78</v>
      </c>
      <c r="S1" s="27" t="s">
        <v>79</v>
      </c>
      <c r="T1" s="27" t="s">
        <v>80</v>
      </c>
      <c r="U1" s="14" t="s">
        <v>81</v>
      </c>
      <c r="V1" s="14" t="s">
        <v>82</v>
      </c>
      <c r="W1" s="14" t="s">
        <v>83</v>
      </c>
      <c r="X1" s="14" t="s">
        <v>84</v>
      </c>
      <c r="Y1" s="12" t="s">
        <v>85</v>
      </c>
      <c r="Z1" s="13" t="s">
        <v>86</v>
      </c>
      <c r="AA1" s="13" t="s">
        <v>87</v>
      </c>
      <c r="AB1" s="14" t="s">
        <v>88</v>
      </c>
      <c r="AC1" s="14" t="s">
        <v>89</v>
      </c>
    </row>
    <row r="2" spans="1:29" x14ac:dyDescent="0.35">
      <c r="A2" t="s">
        <v>90</v>
      </c>
      <c r="B2">
        <v>4</v>
      </c>
      <c r="C2" t="s">
        <v>91</v>
      </c>
      <c r="E2">
        <v>1</v>
      </c>
      <c r="F2" t="s">
        <v>92</v>
      </c>
      <c r="G2" s="30">
        <v>45401</v>
      </c>
      <c r="H2" t="s">
        <v>93</v>
      </c>
      <c r="N2" t="s">
        <v>94</v>
      </c>
      <c r="S2" s="26">
        <v>5.8</v>
      </c>
      <c r="T2" s="26">
        <v>6</v>
      </c>
      <c r="U2" s="26">
        <v>5.8</v>
      </c>
      <c r="V2" s="26">
        <v>6</v>
      </c>
      <c r="W2" s="26">
        <v>17.64</v>
      </c>
      <c r="X2" t="s">
        <v>95</v>
      </c>
      <c r="Y2" s="31">
        <f t="shared" ref="Y2:Y25" si="0">(V2-U2)/U2</f>
        <v>3.4482758620689689E-2</v>
      </c>
      <c r="Z2" s="26">
        <v>-95</v>
      </c>
      <c r="AA2" s="26">
        <v>20</v>
      </c>
      <c r="AB2" s="26"/>
      <c r="AC2" s="31"/>
    </row>
    <row r="3" spans="1:29" x14ac:dyDescent="0.35">
      <c r="A3" t="s">
        <v>90</v>
      </c>
      <c r="B3">
        <v>12</v>
      </c>
      <c r="C3" t="s">
        <v>91</v>
      </c>
      <c r="E3">
        <v>1</v>
      </c>
      <c r="F3" t="s">
        <v>92</v>
      </c>
      <c r="G3" s="30">
        <v>45401</v>
      </c>
      <c r="H3" t="s">
        <v>93</v>
      </c>
      <c r="N3" t="s">
        <v>94</v>
      </c>
      <c r="S3" s="26">
        <v>5.8</v>
      </c>
      <c r="T3" s="26">
        <v>6</v>
      </c>
      <c r="U3" s="26">
        <v>5.8</v>
      </c>
      <c r="V3" s="26">
        <v>6</v>
      </c>
      <c r="W3" s="26">
        <v>17.64</v>
      </c>
      <c r="X3" t="s">
        <v>95</v>
      </c>
      <c r="Y3" s="31">
        <f t="shared" si="0"/>
        <v>3.4482758620689689E-2</v>
      </c>
      <c r="Z3" s="26">
        <v>-95</v>
      </c>
      <c r="AA3" s="26">
        <v>20</v>
      </c>
      <c r="AB3" s="26"/>
      <c r="AC3" s="31"/>
    </row>
    <row r="4" spans="1:29" x14ac:dyDescent="0.35">
      <c r="A4" t="s">
        <v>90</v>
      </c>
      <c r="B4">
        <v>16</v>
      </c>
      <c r="C4" t="s">
        <v>91</v>
      </c>
      <c r="E4">
        <v>1</v>
      </c>
      <c r="F4" t="s">
        <v>92</v>
      </c>
      <c r="G4" s="30">
        <v>45401</v>
      </c>
      <c r="H4" t="s">
        <v>93</v>
      </c>
      <c r="N4" t="s">
        <v>94</v>
      </c>
      <c r="S4" s="26">
        <v>5.8</v>
      </c>
      <c r="T4" s="26">
        <v>6</v>
      </c>
      <c r="U4" s="26">
        <v>5.8</v>
      </c>
      <c r="V4" s="26">
        <v>6</v>
      </c>
      <c r="W4" s="26">
        <v>17.64</v>
      </c>
      <c r="X4" t="s">
        <v>95</v>
      </c>
      <c r="Y4" s="31">
        <f t="shared" si="0"/>
        <v>3.4482758620689689E-2</v>
      </c>
      <c r="Z4" s="26">
        <v>-95</v>
      </c>
      <c r="AA4" s="26">
        <v>20</v>
      </c>
      <c r="AB4" s="26"/>
      <c r="AC4" s="31"/>
    </row>
    <row r="5" spans="1:29" x14ac:dyDescent="0.35">
      <c r="A5" t="s">
        <v>90</v>
      </c>
      <c r="B5">
        <v>24</v>
      </c>
      <c r="C5" t="s">
        <v>91</v>
      </c>
      <c r="E5">
        <v>1</v>
      </c>
      <c r="F5" t="s">
        <v>92</v>
      </c>
      <c r="G5" s="30">
        <v>45401</v>
      </c>
      <c r="H5" t="s">
        <v>93</v>
      </c>
      <c r="N5" t="s">
        <v>94</v>
      </c>
      <c r="S5" s="26">
        <v>5.8</v>
      </c>
      <c r="T5" s="26">
        <v>6</v>
      </c>
      <c r="U5" s="26">
        <v>5.8</v>
      </c>
      <c r="V5" s="26">
        <v>6</v>
      </c>
      <c r="W5" s="26">
        <v>17.64</v>
      </c>
      <c r="X5" t="s">
        <v>95</v>
      </c>
      <c r="Y5" s="31">
        <f t="shared" si="0"/>
        <v>3.4482758620689689E-2</v>
      </c>
      <c r="Z5" s="26">
        <v>-95</v>
      </c>
      <c r="AA5" s="26">
        <v>20</v>
      </c>
      <c r="AB5" s="26"/>
      <c r="AC5" s="31"/>
    </row>
    <row r="6" spans="1:29" x14ac:dyDescent="0.35">
      <c r="A6" t="s">
        <v>90</v>
      </c>
      <c r="B6">
        <v>20</v>
      </c>
      <c r="C6" t="s">
        <v>91</v>
      </c>
      <c r="E6">
        <v>1</v>
      </c>
      <c r="F6" t="s">
        <v>92</v>
      </c>
      <c r="G6" s="30">
        <v>45401</v>
      </c>
      <c r="H6" t="s">
        <v>93</v>
      </c>
      <c r="N6" t="s">
        <v>94</v>
      </c>
      <c r="S6" s="26">
        <v>5.8</v>
      </c>
      <c r="T6" s="26">
        <v>6</v>
      </c>
      <c r="U6" s="26">
        <v>5.8</v>
      </c>
      <c r="V6" s="26">
        <v>6</v>
      </c>
      <c r="W6" s="26">
        <v>17.64</v>
      </c>
      <c r="X6" t="s">
        <v>95</v>
      </c>
      <c r="Y6" s="31">
        <f t="shared" si="0"/>
        <v>3.4482758620689689E-2</v>
      </c>
      <c r="Z6" s="26">
        <v>-95</v>
      </c>
      <c r="AA6" s="26">
        <v>20</v>
      </c>
      <c r="AB6" s="26"/>
      <c r="AC6" s="31"/>
    </row>
    <row r="7" spans="1:29" x14ac:dyDescent="0.35">
      <c r="A7" t="s">
        <v>90</v>
      </c>
      <c r="B7">
        <v>8</v>
      </c>
      <c r="C7" t="s">
        <v>91</v>
      </c>
      <c r="E7">
        <v>1</v>
      </c>
      <c r="F7" t="s">
        <v>92</v>
      </c>
      <c r="G7" s="30">
        <v>45401</v>
      </c>
      <c r="H7" t="s">
        <v>93</v>
      </c>
      <c r="N7" t="s">
        <v>94</v>
      </c>
      <c r="S7" s="26">
        <v>5.8</v>
      </c>
      <c r="T7" s="26">
        <v>6</v>
      </c>
      <c r="U7" s="26">
        <v>5.8</v>
      </c>
      <c r="V7" s="26">
        <v>6</v>
      </c>
      <c r="W7" s="26">
        <v>17.64</v>
      </c>
      <c r="X7" t="s">
        <v>95</v>
      </c>
      <c r="Y7" s="31">
        <f t="shared" si="0"/>
        <v>3.4482758620689689E-2</v>
      </c>
      <c r="Z7" s="26">
        <v>-95</v>
      </c>
      <c r="AA7" s="26">
        <v>20</v>
      </c>
      <c r="AB7" s="26"/>
      <c r="AC7" s="31"/>
    </row>
    <row r="8" spans="1:29" x14ac:dyDescent="0.35">
      <c r="A8" t="s">
        <v>90</v>
      </c>
      <c r="B8">
        <v>15</v>
      </c>
      <c r="C8" t="s">
        <v>91</v>
      </c>
      <c r="E8">
        <v>1</v>
      </c>
      <c r="F8" t="s">
        <v>96</v>
      </c>
      <c r="G8" s="30">
        <v>45397</v>
      </c>
      <c r="H8" t="s">
        <v>93</v>
      </c>
      <c r="I8" t="s">
        <v>97</v>
      </c>
      <c r="S8" s="26">
        <v>6.3</v>
      </c>
      <c r="T8" s="26">
        <v>6.6</v>
      </c>
      <c r="U8" s="26">
        <v>6.3</v>
      </c>
      <c r="V8" s="26">
        <v>6.6</v>
      </c>
      <c r="W8" s="26">
        <v>27.64</v>
      </c>
      <c r="X8" t="s">
        <v>95</v>
      </c>
      <c r="Y8" s="31">
        <f t="shared" si="0"/>
        <v>4.7619047619047596E-2</v>
      </c>
      <c r="Z8" s="26">
        <v>20</v>
      </c>
      <c r="AA8" s="26">
        <v>30</v>
      </c>
      <c r="AB8" s="26"/>
      <c r="AC8" s="31"/>
    </row>
    <row r="9" spans="1:29" x14ac:dyDescent="0.35">
      <c r="A9" t="s">
        <v>90</v>
      </c>
      <c r="B9">
        <v>23</v>
      </c>
      <c r="C9" t="s">
        <v>91</v>
      </c>
      <c r="E9">
        <v>1</v>
      </c>
      <c r="F9" t="s">
        <v>96</v>
      </c>
      <c r="G9" s="30">
        <v>45397</v>
      </c>
      <c r="H9" t="s">
        <v>93</v>
      </c>
      <c r="I9" t="s">
        <v>97</v>
      </c>
      <c r="S9" s="26">
        <v>6.3</v>
      </c>
      <c r="T9" s="26">
        <v>6.6</v>
      </c>
      <c r="U9" s="26">
        <v>6.3</v>
      </c>
      <c r="V9" s="26">
        <v>6.6</v>
      </c>
      <c r="W9" s="26">
        <v>27.64</v>
      </c>
      <c r="X9" t="s">
        <v>95</v>
      </c>
      <c r="Y9" s="31">
        <f t="shared" si="0"/>
        <v>4.7619047619047596E-2</v>
      </c>
      <c r="Z9" s="26">
        <v>20</v>
      </c>
      <c r="AA9" s="26">
        <v>30</v>
      </c>
      <c r="AB9" s="26"/>
      <c r="AC9" s="31"/>
    </row>
    <row r="10" spans="1:29" x14ac:dyDescent="0.35">
      <c r="A10" t="s">
        <v>98</v>
      </c>
      <c r="B10">
        <v>22</v>
      </c>
      <c r="C10" t="s">
        <v>91</v>
      </c>
      <c r="E10">
        <v>1</v>
      </c>
      <c r="F10" t="s">
        <v>96</v>
      </c>
      <c r="G10" s="30">
        <v>45397</v>
      </c>
      <c r="S10" s="26">
        <v>7.8</v>
      </c>
      <c r="T10" s="26">
        <v>7.4</v>
      </c>
      <c r="U10" s="26">
        <v>7.8</v>
      </c>
      <c r="V10" s="26">
        <v>7.4</v>
      </c>
      <c r="W10" s="26">
        <v>-42.36</v>
      </c>
      <c r="X10" t="s">
        <v>95</v>
      </c>
      <c r="Y10" s="31">
        <f t="shared" si="0"/>
        <v>-5.1282051282051218E-2</v>
      </c>
      <c r="Z10" s="26">
        <v>-40</v>
      </c>
      <c r="AA10" s="26"/>
      <c r="AB10" s="26"/>
      <c r="AC10" s="31"/>
    </row>
    <row r="11" spans="1:29" x14ac:dyDescent="0.35">
      <c r="A11" t="s">
        <v>98</v>
      </c>
      <c r="B11">
        <v>2</v>
      </c>
      <c r="C11" t="s">
        <v>91</v>
      </c>
      <c r="E11">
        <v>1</v>
      </c>
      <c r="F11" t="s">
        <v>96</v>
      </c>
      <c r="G11" s="30">
        <v>45397</v>
      </c>
      <c r="S11" s="26">
        <v>7.8</v>
      </c>
      <c r="T11" s="26">
        <v>7.4</v>
      </c>
      <c r="U11" s="26">
        <v>7.8</v>
      </c>
      <c r="V11" s="26">
        <v>7.4</v>
      </c>
      <c r="W11" s="26">
        <v>-42.36</v>
      </c>
      <c r="X11" t="s">
        <v>95</v>
      </c>
      <c r="Y11" s="31">
        <f t="shared" si="0"/>
        <v>-5.1282051282051218E-2</v>
      </c>
      <c r="Z11" s="26">
        <v>-40</v>
      </c>
      <c r="AA11" s="26"/>
      <c r="AB11" s="26"/>
      <c r="AC11" s="31"/>
    </row>
    <row r="12" spans="1:29" x14ac:dyDescent="0.35">
      <c r="A12" t="s">
        <v>90</v>
      </c>
      <c r="B12">
        <v>19</v>
      </c>
      <c r="C12" t="s">
        <v>91</v>
      </c>
      <c r="E12">
        <v>1</v>
      </c>
      <c r="F12" t="s">
        <v>96</v>
      </c>
      <c r="G12" s="30">
        <v>45397</v>
      </c>
      <c r="H12" t="s">
        <v>93</v>
      </c>
      <c r="I12" t="s">
        <v>97</v>
      </c>
      <c r="S12" s="26">
        <v>6.3</v>
      </c>
      <c r="T12" s="26">
        <v>6.6</v>
      </c>
      <c r="U12" s="26">
        <v>6.3</v>
      </c>
      <c r="V12" s="26">
        <v>6.6</v>
      </c>
      <c r="W12" s="26">
        <v>27.64</v>
      </c>
      <c r="X12" t="s">
        <v>95</v>
      </c>
      <c r="Y12" s="31">
        <f t="shared" si="0"/>
        <v>4.7619047619047596E-2</v>
      </c>
      <c r="Z12" s="26">
        <v>20</v>
      </c>
      <c r="AA12" s="26">
        <v>30</v>
      </c>
      <c r="AB12" s="26"/>
      <c r="AC12" s="31"/>
    </row>
    <row r="13" spans="1:29" x14ac:dyDescent="0.35">
      <c r="A13" t="s">
        <v>98</v>
      </c>
      <c r="B13">
        <v>14</v>
      </c>
      <c r="C13" t="s">
        <v>91</v>
      </c>
      <c r="E13">
        <v>1</v>
      </c>
      <c r="F13" t="s">
        <v>96</v>
      </c>
      <c r="G13" s="30">
        <v>45397</v>
      </c>
      <c r="S13" s="26">
        <v>7.8</v>
      </c>
      <c r="T13" s="26">
        <v>7.4</v>
      </c>
      <c r="U13" s="26">
        <v>7.8</v>
      </c>
      <c r="V13" s="26">
        <v>7.4</v>
      </c>
      <c r="W13" s="26">
        <v>-42.36</v>
      </c>
      <c r="X13" t="s">
        <v>95</v>
      </c>
      <c r="Y13" s="31">
        <f t="shared" si="0"/>
        <v>-5.1282051282051218E-2</v>
      </c>
      <c r="Z13" s="26">
        <v>-40</v>
      </c>
      <c r="AA13" s="26"/>
      <c r="AB13" s="26"/>
      <c r="AC13" s="31"/>
    </row>
    <row r="14" spans="1:29" x14ac:dyDescent="0.35">
      <c r="A14" t="s">
        <v>90</v>
      </c>
      <c r="B14">
        <v>11</v>
      </c>
      <c r="C14" t="s">
        <v>91</v>
      </c>
      <c r="E14">
        <v>1</v>
      </c>
      <c r="F14" t="s">
        <v>96</v>
      </c>
      <c r="G14" s="30">
        <v>45397</v>
      </c>
      <c r="H14" t="s">
        <v>93</v>
      </c>
      <c r="I14" t="s">
        <v>97</v>
      </c>
      <c r="S14" s="26">
        <v>6.3</v>
      </c>
      <c r="T14" s="26">
        <v>6.6</v>
      </c>
      <c r="U14" s="26">
        <v>6.3</v>
      </c>
      <c r="V14" s="26">
        <v>6.6</v>
      </c>
      <c r="W14" s="26">
        <v>27.64</v>
      </c>
      <c r="X14" t="s">
        <v>95</v>
      </c>
      <c r="Y14" s="31">
        <f t="shared" si="0"/>
        <v>4.7619047619047596E-2</v>
      </c>
      <c r="Z14" s="26">
        <v>20</v>
      </c>
      <c r="AA14" s="26">
        <v>30</v>
      </c>
      <c r="AB14" s="26"/>
      <c r="AC14" s="31"/>
    </row>
    <row r="15" spans="1:29" x14ac:dyDescent="0.35">
      <c r="A15" t="s">
        <v>98</v>
      </c>
      <c r="B15">
        <v>10</v>
      </c>
      <c r="C15" t="s">
        <v>91</v>
      </c>
      <c r="E15">
        <v>1</v>
      </c>
      <c r="F15" t="s">
        <v>96</v>
      </c>
      <c r="G15" s="30">
        <v>45397</v>
      </c>
      <c r="S15" s="26">
        <v>7.8</v>
      </c>
      <c r="T15" s="26">
        <v>7.4</v>
      </c>
      <c r="U15" s="26">
        <v>7.8</v>
      </c>
      <c r="V15" s="26">
        <v>7.4</v>
      </c>
      <c r="W15" s="26">
        <v>-42.36</v>
      </c>
      <c r="X15" t="s">
        <v>95</v>
      </c>
      <c r="Y15" s="31">
        <f t="shared" si="0"/>
        <v>-5.1282051282051218E-2</v>
      </c>
      <c r="Z15" s="26">
        <v>-40</v>
      </c>
      <c r="AA15" s="26"/>
      <c r="AB15" s="26"/>
      <c r="AC15" s="31"/>
    </row>
    <row r="16" spans="1:29" x14ac:dyDescent="0.35">
      <c r="A16" t="s">
        <v>90</v>
      </c>
      <c r="B16">
        <v>7</v>
      </c>
      <c r="C16" t="s">
        <v>91</v>
      </c>
      <c r="E16">
        <v>1</v>
      </c>
      <c r="F16" t="s">
        <v>96</v>
      </c>
      <c r="G16" s="30">
        <v>45397</v>
      </c>
      <c r="H16" t="s">
        <v>93</v>
      </c>
      <c r="I16" t="s">
        <v>97</v>
      </c>
      <c r="S16" s="26">
        <v>6.3</v>
      </c>
      <c r="T16" s="26">
        <v>6.6</v>
      </c>
      <c r="U16" s="26">
        <v>6.3</v>
      </c>
      <c r="V16" s="26">
        <v>6.6</v>
      </c>
      <c r="W16" s="26">
        <v>27.64</v>
      </c>
      <c r="X16" t="s">
        <v>95</v>
      </c>
      <c r="Y16" s="31">
        <f t="shared" si="0"/>
        <v>4.7619047619047596E-2</v>
      </c>
      <c r="Z16" s="26">
        <v>20</v>
      </c>
      <c r="AA16" s="26">
        <v>30</v>
      </c>
      <c r="AB16" s="26"/>
      <c r="AC16" s="31"/>
    </row>
    <row r="17" spans="1:29" x14ac:dyDescent="0.35">
      <c r="A17" t="s">
        <v>98</v>
      </c>
      <c r="B17">
        <v>6</v>
      </c>
      <c r="C17" t="s">
        <v>91</v>
      </c>
      <c r="E17">
        <v>1</v>
      </c>
      <c r="F17" t="s">
        <v>96</v>
      </c>
      <c r="G17" s="30">
        <v>45397</v>
      </c>
      <c r="S17" s="26">
        <v>7.8</v>
      </c>
      <c r="T17" s="26">
        <v>7.4</v>
      </c>
      <c r="U17" s="26">
        <v>7.8</v>
      </c>
      <c r="V17" s="26">
        <v>7.4</v>
      </c>
      <c r="W17" s="26">
        <v>-42.36</v>
      </c>
      <c r="X17" t="s">
        <v>95</v>
      </c>
      <c r="Y17" s="31">
        <f t="shared" si="0"/>
        <v>-5.1282051282051218E-2</v>
      </c>
      <c r="Z17" s="26">
        <v>-40</v>
      </c>
      <c r="AA17" s="26"/>
      <c r="AB17" s="26"/>
      <c r="AC17" s="31"/>
    </row>
    <row r="18" spans="1:29" x14ac:dyDescent="0.35">
      <c r="A18" t="s">
        <v>90</v>
      </c>
      <c r="B18">
        <v>3</v>
      </c>
      <c r="C18" t="s">
        <v>91</v>
      </c>
      <c r="E18">
        <v>1</v>
      </c>
      <c r="F18" t="s">
        <v>96</v>
      </c>
      <c r="G18" s="30">
        <v>45397</v>
      </c>
      <c r="H18" t="s">
        <v>93</v>
      </c>
      <c r="I18" t="s">
        <v>97</v>
      </c>
      <c r="S18" s="26">
        <v>6.3</v>
      </c>
      <c r="T18" s="26">
        <v>6.6</v>
      </c>
      <c r="U18" s="26">
        <v>6.3</v>
      </c>
      <c r="V18" s="26">
        <v>6.6</v>
      </c>
      <c r="W18" s="26">
        <v>27.64</v>
      </c>
      <c r="X18" t="s">
        <v>95</v>
      </c>
      <c r="Y18" s="31">
        <f t="shared" si="0"/>
        <v>4.7619047619047596E-2</v>
      </c>
      <c r="Z18" s="26">
        <v>20</v>
      </c>
      <c r="AA18" s="26">
        <v>30</v>
      </c>
      <c r="AB18" s="26"/>
      <c r="AC18" s="31"/>
    </row>
    <row r="19" spans="1:29" x14ac:dyDescent="0.35">
      <c r="A19" t="s">
        <v>98</v>
      </c>
      <c r="B19">
        <v>18</v>
      </c>
      <c r="C19" t="s">
        <v>91</v>
      </c>
      <c r="E19">
        <v>1</v>
      </c>
      <c r="F19" t="s">
        <v>96</v>
      </c>
      <c r="G19" s="30">
        <v>45397</v>
      </c>
      <c r="S19" s="26">
        <v>7.8</v>
      </c>
      <c r="T19" s="26">
        <v>7.4</v>
      </c>
      <c r="U19" s="26">
        <v>7.8</v>
      </c>
      <c r="V19" s="26">
        <v>7.4</v>
      </c>
      <c r="W19" s="26">
        <v>-42.36</v>
      </c>
      <c r="X19" t="s">
        <v>95</v>
      </c>
      <c r="Y19" s="31">
        <f t="shared" si="0"/>
        <v>-5.1282051282051218E-2</v>
      </c>
      <c r="Z19" s="26">
        <v>-40</v>
      </c>
      <c r="AA19" s="26"/>
      <c r="AB19" s="26"/>
      <c r="AC19" s="31"/>
    </row>
    <row r="20" spans="1:29" x14ac:dyDescent="0.35">
      <c r="A20" t="s">
        <v>90</v>
      </c>
      <c r="B20">
        <v>1</v>
      </c>
      <c r="C20" t="s">
        <v>27</v>
      </c>
      <c r="E20">
        <v>25</v>
      </c>
      <c r="F20" t="s">
        <v>99</v>
      </c>
      <c r="G20" s="30">
        <v>45352</v>
      </c>
      <c r="S20" s="26">
        <v>58.599899999999998</v>
      </c>
      <c r="T20" s="26">
        <v>78.010000000000005</v>
      </c>
      <c r="U20" s="26">
        <v>58.599899999999998</v>
      </c>
      <c r="V20" s="26">
        <v>78.010000000000005</v>
      </c>
      <c r="W20" s="26">
        <v>485.25</v>
      </c>
      <c r="X20" t="s">
        <v>100</v>
      </c>
      <c r="Y20" s="31">
        <f t="shared" si="0"/>
        <v>0.33123094066713438</v>
      </c>
      <c r="Z20" s="26">
        <v>-58.247500000000002</v>
      </c>
      <c r="AA20" s="26">
        <v>603.75300000000004</v>
      </c>
      <c r="AB20" s="26">
        <v>674</v>
      </c>
      <c r="AC20" s="31">
        <v>4.6009999999999998E-11</v>
      </c>
    </row>
    <row r="21" spans="1:29" x14ac:dyDescent="0.35">
      <c r="A21" t="s">
        <v>90</v>
      </c>
      <c r="B21">
        <v>5</v>
      </c>
      <c r="C21" t="s">
        <v>27</v>
      </c>
      <c r="E21">
        <v>25</v>
      </c>
      <c r="F21" t="s">
        <v>99</v>
      </c>
      <c r="G21" s="30">
        <v>45352</v>
      </c>
      <c r="S21" s="26">
        <v>58.599899999999998</v>
      </c>
      <c r="T21" s="26">
        <v>78.010000000000005</v>
      </c>
      <c r="U21" s="26">
        <v>58.599899999999998</v>
      </c>
      <c r="V21" s="26">
        <v>78.010000000000005</v>
      </c>
      <c r="W21" s="26">
        <v>485.25</v>
      </c>
      <c r="X21" t="s">
        <v>100</v>
      </c>
      <c r="Y21" s="31">
        <f t="shared" si="0"/>
        <v>0.33123094066713438</v>
      </c>
      <c r="Z21" s="26">
        <v>-58.247500000000002</v>
      </c>
      <c r="AA21" s="26">
        <v>603.75300000000004</v>
      </c>
      <c r="AB21" s="26">
        <v>674</v>
      </c>
      <c r="AC21" s="31">
        <v>4.6010000000000001E-9</v>
      </c>
    </row>
    <row r="22" spans="1:29" x14ac:dyDescent="0.35">
      <c r="A22" t="s">
        <v>90</v>
      </c>
      <c r="B22">
        <v>9</v>
      </c>
      <c r="C22" t="s">
        <v>27</v>
      </c>
      <c r="E22">
        <v>25</v>
      </c>
      <c r="F22" t="s">
        <v>99</v>
      </c>
      <c r="G22" s="30">
        <v>45352</v>
      </c>
      <c r="S22" s="26">
        <v>58.599899999999998</v>
      </c>
      <c r="T22" s="26">
        <v>78.010000000000005</v>
      </c>
      <c r="U22" s="26">
        <v>58.599899999999998</v>
      </c>
      <c r="V22" s="26">
        <v>78.010000000000005</v>
      </c>
      <c r="W22" s="26">
        <v>485.25</v>
      </c>
      <c r="X22" t="s">
        <v>100</v>
      </c>
      <c r="Y22" s="31">
        <f t="shared" si="0"/>
        <v>0.33123094066713438</v>
      </c>
      <c r="Z22" s="26">
        <v>-58.247500000000002</v>
      </c>
      <c r="AA22" s="26">
        <v>603.75300000000004</v>
      </c>
      <c r="AB22" s="26">
        <v>674</v>
      </c>
      <c r="AC22" s="31">
        <v>4.601E-7</v>
      </c>
    </row>
    <row r="23" spans="1:29" x14ac:dyDescent="0.35">
      <c r="A23" t="s">
        <v>90</v>
      </c>
      <c r="B23">
        <v>13</v>
      </c>
      <c r="C23" t="s">
        <v>27</v>
      </c>
      <c r="E23">
        <v>25</v>
      </c>
      <c r="F23" t="s">
        <v>99</v>
      </c>
      <c r="G23" s="30">
        <v>45352</v>
      </c>
      <c r="S23" s="26">
        <v>58.599899999999998</v>
      </c>
      <c r="T23" s="26">
        <v>78.010000000000005</v>
      </c>
      <c r="U23" s="26">
        <v>58.599899999999998</v>
      </c>
      <c r="V23" s="26">
        <v>78.010000000000005</v>
      </c>
      <c r="W23" s="26">
        <v>485.25</v>
      </c>
      <c r="X23" t="s">
        <v>100</v>
      </c>
      <c r="Y23" s="31">
        <f t="shared" si="0"/>
        <v>0.33123094066713438</v>
      </c>
      <c r="Z23" s="26">
        <v>-58.247500000000002</v>
      </c>
      <c r="AA23" s="26">
        <v>603.75300000000004</v>
      </c>
      <c r="AB23" s="26">
        <v>674</v>
      </c>
      <c r="AC23" s="31">
        <v>4.6010000000000002E-5</v>
      </c>
    </row>
    <row r="24" spans="1:29" x14ac:dyDescent="0.35">
      <c r="A24" t="s">
        <v>90</v>
      </c>
      <c r="B24">
        <v>17</v>
      </c>
      <c r="C24" t="s">
        <v>27</v>
      </c>
      <c r="E24">
        <v>25</v>
      </c>
      <c r="F24" t="s">
        <v>99</v>
      </c>
      <c r="G24" s="30">
        <v>45352</v>
      </c>
      <c r="S24" s="26">
        <v>58.599899999999998</v>
      </c>
      <c r="T24" s="26">
        <v>78.010000000000005</v>
      </c>
      <c r="U24" s="26">
        <v>58.599899999999998</v>
      </c>
      <c r="V24" s="26">
        <v>78.010000000000005</v>
      </c>
      <c r="W24" s="26">
        <v>485.25</v>
      </c>
      <c r="X24" t="s">
        <v>100</v>
      </c>
      <c r="Y24" s="31">
        <f t="shared" si="0"/>
        <v>0.33123094066713438</v>
      </c>
      <c r="Z24" s="26">
        <v>-58.247500000000002</v>
      </c>
      <c r="AA24" s="26">
        <v>603.75300000000004</v>
      </c>
      <c r="AB24" s="26">
        <v>674</v>
      </c>
      <c r="AC24" s="31">
        <v>4.6010000000000001E-3</v>
      </c>
    </row>
    <row r="25" spans="1:29" x14ac:dyDescent="0.35">
      <c r="A25" t="s">
        <v>90</v>
      </c>
      <c r="B25">
        <v>21</v>
      </c>
      <c r="C25" t="s">
        <v>27</v>
      </c>
      <c r="E25">
        <v>25</v>
      </c>
      <c r="F25" t="s">
        <v>99</v>
      </c>
      <c r="G25" s="30">
        <v>45352</v>
      </c>
      <c r="S25" s="26">
        <v>58.599899999999998</v>
      </c>
      <c r="T25" s="26">
        <v>78.010000000000005</v>
      </c>
      <c r="U25" s="26">
        <v>58.599899999999998</v>
      </c>
      <c r="V25" s="26">
        <v>78.010000000000005</v>
      </c>
      <c r="W25" s="26">
        <v>485.25</v>
      </c>
      <c r="X25" t="s">
        <v>100</v>
      </c>
      <c r="Y25" s="31">
        <f t="shared" si="0"/>
        <v>0.33123094066713438</v>
      </c>
      <c r="Z25" s="26">
        <v>-58.247500000000002</v>
      </c>
      <c r="AA25" s="26">
        <v>603.75300000000004</v>
      </c>
      <c r="AB25" s="26">
        <v>674</v>
      </c>
      <c r="AC25" s="31">
        <v>0.46010000000000001</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Q19"/>
  <sheetViews>
    <sheetView workbookViewId="0">
      <selection activeCell="Q3" sqref="Q3"/>
    </sheetView>
  </sheetViews>
  <sheetFormatPr defaultRowHeight="14.5" x14ac:dyDescent="0.35"/>
  <cols>
    <col min="14" max="14" width="10.453125" customWidth="1"/>
  </cols>
  <sheetData>
    <row r="1" spans="1:17" x14ac:dyDescent="0.35">
      <c r="A1" s="28" t="s">
        <v>63</v>
      </c>
      <c r="B1" s="28" t="s">
        <v>3</v>
      </c>
      <c r="C1" s="28" t="s">
        <v>67</v>
      </c>
      <c r="D1" s="28" t="s">
        <v>79</v>
      </c>
      <c r="E1" s="28" t="s">
        <v>80</v>
      </c>
      <c r="F1" s="28" t="s">
        <v>81</v>
      </c>
      <c r="G1" s="28" t="s">
        <v>82</v>
      </c>
      <c r="H1" s="28" t="s">
        <v>83</v>
      </c>
      <c r="I1" s="28" t="s">
        <v>64</v>
      </c>
      <c r="J1" s="28" t="s">
        <v>51</v>
      </c>
      <c r="K1" s="28" t="s">
        <v>60</v>
      </c>
      <c r="L1" s="28" t="s">
        <v>61</v>
      </c>
      <c r="M1" s="28" t="s">
        <v>101</v>
      </c>
      <c r="N1" s="28" t="s">
        <v>102</v>
      </c>
      <c r="O1" s="29" t="s">
        <v>103</v>
      </c>
      <c r="P1" s="28" t="s">
        <v>104</v>
      </c>
      <c r="Q1" s="28" t="s">
        <v>105</v>
      </c>
    </row>
    <row r="2" spans="1:17" x14ac:dyDescent="0.35">
      <c r="A2">
        <v>1</v>
      </c>
      <c r="B2" t="s">
        <v>27</v>
      </c>
      <c r="C2" t="s">
        <v>106</v>
      </c>
      <c r="D2" s="26">
        <v>58.599899999999998</v>
      </c>
      <c r="E2" s="26">
        <v>78.010000000000005</v>
      </c>
      <c r="F2" s="26">
        <v>58.599899999999998</v>
      </c>
      <c r="G2" s="26">
        <v>78.010000000000005</v>
      </c>
      <c r="H2" s="26">
        <v>485.25</v>
      </c>
      <c r="I2" t="s">
        <v>90</v>
      </c>
      <c r="N2" s="11"/>
    </row>
    <row r="3" spans="1:17" x14ac:dyDescent="0.35">
      <c r="A3">
        <v>2</v>
      </c>
      <c r="B3" t="s">
        <v>91</v>
      </c>
      <c r="C3" t="s">
        <v>96</v>
      </c>
      <c r="D3" s="26">
        <v>7.8</v>
      </c>
      <c r="E3" s="26">
        <v>7.4</v>
      </c>
      <c r="F3" s="26">
        <v>7.8</v>
      </c>
      <c r="G3" s="26">
        <v>7.4</v>
      </c>
      <c r="H3" s="26">
        <v>-42.36</v>
      </c>
      <c r="I3" t="s">
        <v>98</v>
      </c>
      <c r="N3" s="11"/>
    </row>
    <row r="4" spans="1:17" x14ac:dyDescent="0.35">
      <c r="A4">
        <v>3</v>
      </c>
      <c r="B4" t="s">
        <v>91</v>
      </c>
      <c r="C4" t="s">
        <v>96</v>
      </c>
      <c r="D4" s="26">
        <v>6.3</v>
      </c>
      <c r="E4" s="26">
        <v>6.6</v>
      </c>
      <c r="F4" s="26">
        <v>6.3</v>
      </c>
      <c r="G4" s="26">
        <v>6.6</v>
      </c>
      <c r="H4" s="26">
        <v>27.64</v>
      </c>
      <c r="I4" t="s">
        <v>90</v>
      </c>
      <c r="J4" t="s">
        <v>93</v>
      </c>
      <c r="N4" s="11"/>
    </row>
    <row r="5" spans="1:17" x14ac:dyDescent="0.35">
      <c r="A5">
        <v>4</v>
      </c>
      <c r="B5" t="s">
        <v>91</v>
      </c>
      <c r="C5" t="s">
        <v>92</v>
      </c>
      <c r="D5" s="26">
        <v>5.8</v>
      </c>
      <c r="E5" s="26">
        <v>6</v>
      </c>
      <c r="F5" s="26">
        <v>5.8</v>
      </c>
      <c r="G5" s="26">
        <v>6</v>
      </c>
      <c r="H5" s="26">
        <v>17.64</v>
      </c>
      <c r="I5" t="s">
        <v>90</v>
      </c>
      <c r="J5" t="s">
        <v>93</v>
      </c>
      <c r="M5" t="s">
        <v>94</v>
      </c>
      <c r="N5" s="11"/>
    </row>
    <row r="6" spans="1:17" x14ac:dyDescent="0.35">
      <c r="A6">
        <v>5</v>
      </c>
      <c r="B6" t="s">
        <v>27</v>
      </c>
      <c r="C6" t="s">
        <v>106</v>
      </c>
      <c r="D6" s="26">
        <v>58.599899999999998</v>
      </c>
      <c r="E6" s="26">
        <v>78.010000000000005</v>
      </c>
      <c r="F6" s="26">
        <v>58.599899999999998</v>
      </c>
      <c r="G6" s="26">
        <v>78.010000000000005</v>
      </c>
      <c r="H6" s="26">
        <v>485.25</v>
      </c>
      <c r="I6" t="s">
        <v>90</v>
      </c>
      <c r="N6" s="11"/>
    </row>
    <row r="7" spans="1:17" x14ac:dyDescent="0.35">
      <c r="A7">
        <v>6</v>
      </c>
      <c r="B7" t="s">
        <v>91</v>
      </c>
      <c r="C7" t="s">
        <v>96</v>
      </c>
      <c r="D7" s="26">
        <v>7.8</v>
      </c>
      <c r="E7" s="26">
        <v>7.4</v>
      </c>
      <c r="F7" s="26">
        <v>7.8</v>
      </c>
      <c r="G7" s="26">
        <v>7.4</v>
      </c>
      <c r="H7" s="26">
        <v>-42.36</v>
      </c>
      <c r="I7" t="s">
        <v>98</v>
      </c>
      <c r="N7" s="11"/>
    </row>
    <row r="8" spans="1:17" x14ac:dyDescent="0.35">
      <c r="A8">
        <v>7</v>
      </c>
      <c r="B8" t="s">
        <v>91</v>
      </c>
      <c r="C8" t="s">
        <v>96</v>
      </c>
      <c r="D8" s="26">
        <v>6.3</v>
      </c>
      <c r="E8" s="26">
        <v>6.6</v>
      </c>
      <c r="F8" s="26">
        <v>6.3</v>
      </c>
      <c r="G8" s="26">
        <v>6.6</v>
      </c>
      <c r="H8" s="26">
        <v>27.64</v>
      </c>
      <c r="I8" t="s">
        <v>90</v>
      </c>
      <c r="J8" t="s">
        <v>93</v>
      </c>
      <c r="N8" s="11"/>
    </row>
    <row r="9" spans="1:17" x14ac:dyDescent="0.35">
      <c r="A9">
        <v>8</v>
      </c>
      <c r="B9" t="s">
        <v>91</v>
      </c>
      <c r="C9" t="s">
        <v>92</v>
      </c>
      <c r="D9" s="26">
        <v>5.8</v>
      </c>
      <c r="E9" s="26">
        <v>6</v>
      </c>
      <c r="F9" s="26">
        <v>5.8</v>
      </c>
      <c r="G9" s="26">
        <v>6</v>
      </c>
      <c r="H9" s="26">
        <v>17.64</v>
      </c>
      <c r="I9" t="s">
        <v>90</v>
      </c>
      <c r="J9" t="s">
        <v>93</v>
      </c>
      <c r="M9" t="s">
        <v>94</v>
      </c>
      <c r="N9" s="11"/>
    </row>
    <row r="10" spans="1:17" x14ac:dyDescent="0.35">
      <c r="A10">
        <v>9</v>
      </c>
      <c r="B10" t="s">
        <v>27</v>
      </c>
      <c r="C10" t="s">
        <v>106</v>
      </c>
      <c r="D10" s="26">
        <v>58.599899999999998</v>
      </c>
      <c r="E10" s="26">
        <v>78.010000000000005</v>
      </c>
      <c r="F10" s="26">
        <v>58.599899999999998</v>
      </c>
      <c r="G10" s="26">
        <v>78.010000000000005</v>
      </c>
      <c r="H10" s="26">
        <v>485.25</v>
      </c>
      <c r="I10" t="s">
        <v>90</v>
      </c>
      <c r="N10" s="11"/>
    </row>
    <row r="11" spans="1:17" x14ac:dyDescent="0.35">
      <c r="A11">
        <v>10</v>
      </c>
      <c r="B11" t="s">
        <v>91</v>
      </c>
      <c r="C11" t="s">
        <v>96</v>
      </c>
      <c r="D11" s="26">
        <v>7.8</v>
      </c>
      <c r="E11" s="26">
        <v>7.4</v>
      </c>
      <c r="F11" s="26">
        <v>7.8</v>
      </c>
      <c r="G11" s="26">
        <v>7.4</v>
      </c>
      <c r="H11" s="26">
        <v>-42.36</v>
      </c>
      <c r="I11" t="s">
        <v>98</v>
      </c>
      <c r="N11" s="11"/>
    </row>
    <row r="12" spans="1:17" x14ac:dyDescent="0.35">
      <c r="A12">
        <v>17</v>
      </c>
      <c r="B12" t="s">
        <v>27</v>
      </c>
      <c r="C12" t="s">
        <v>106</v>
      </c>
      <c r="D12" s="26">
        <v>58.599899999999998</v>
      </c>
      <c r="E12" s="26">
        <v>78.010000000000005</v>
      </c>
      <c r="F12" s="26">
        <v>58.599899999999998</v>
      </c>
      <c r="G12" s="26">
        <v>78.010000000000005</v>
      </c>
      <c r="H12" s="26">
        <v>485.25</v>
      </c>
      <c r="I12" t="s">
        <v>90</v>
      </c>
      <c r="N12" s="11"/>
    </row>
    <row r="13" spans="1:17" x14ac:dyDescent="0.35">
      <c r="A13">
        <v>18</v>
      </c>
      <c r="B13" t="s">
        <v>91</v>
      </c>
      <c r="C13" t="s">
        <v>96</v>
      </c>
      <c r="D13" s="26">
        <v>7.8</v>
      </c>
      <c r="E13" s="26">
        <v>7.4</v>
      </c>
      <c r="F13" s="26">
        <v>7.8</v>
      </c>
      <c r="G13" s="26">
        <v>7.4</v>
      </c>
      <c r="H13" s="26">
        <v>-42.36</v>
      </c>
      <c r="I13" t="s">
        <v>98</v>
      </c>
      <c r="N13" s="11"/>
    </row>
    <row r="14" spans="1:17" x14ac:dyDescent="0.35">
      <c r="A14">
        <v>19</v>
      </c>
      <c r="B14" t="s">
        <v>91</v>
      </c>
      <c r="C14" t="s">
        <v>96</v>
      </c>
      <c r="D14" s="26">
        <v>6.3</v>
      </c>
      <c r="E14" s="26">
        <v>6.6</v>
      </c>
      <c r="F14" s="26">
        <v>6.3</v>
      </c>
      <c r="G14" s="26">
        <v>6.6</v>
      </c>
      <c r="H14" s="26">
        <v>27.64</v>
      </c>
      <c r="I14" t="s">
        <v>90</v>
      </c>
      <c r="J14" t="s">
        <v>93</v>
      </c>
      <c r="N14" s="11">
        <v>45397</v>
      </c>
    </row>
    <row r="15" spans="1:17" x14ac:dyDescent="0.35">
      <c r="A15">
        <v>20</v>
      </c>
      <c r="B15" t="s">
        <v>91</v>
      </c>
      <c r="C15" t="s">
        <v>92</v>
      </c>
      <c r="D15" s="26">
        <v>5.8</v>
      </c>
      <c r="E15" s="26">
        <v>6</v>
      </c>
      <c r="F15" s="26">
        <v>5.8</v>
      </c>
      <c r="G15" s="26">
        <v>6</v>
      </c>
      <c r="H15" s="26">
        <v>17.64</v>
      </c>
      <c r="I15" t="s">
        <v>90</v>
      </c>
      <c r="J15" t="s">
        <v>93</v>
      </c>
      <c r="M15" t="s">
        <v>94</v>
      </c>
      <c r="N15" s="11">
        <v>45401</v>
      </c>
    </row>
    <row r="16" spans="1:17" x14ac:dyDescent="0.35">
      <c r="A16">
        <v>21</v>
      </c>
      <c r="B16" t="s">
        <v>27</v>
      </c>
      <c r="C16" t="s">
        <v>106</v>
      </c>
      <c r="D16" s="26">
        <v>58.599899999999998</v>
      </c>
      <c r="E16" s="26">
        <v>78.010000000000005</v>
      </c>
      <c r="F16" s="26">
        <v>58.599899999999998</v>
      </c>
      <c r="G16" s="26">
        <v>78.010000000000005</v>
      </c>
      <c r="H16" s="26">
        <v>485.25</v>
      </c>
      <c r="I16" t="s">
        <v>90</v>
      </c>
      <c r="N16" s="11"/>
    </row>
    <row r="17" spans="1:14" x14ac:dyDescent="0.35">
      <c r="A17">
        <v>22</v>
      </c>
      <c r="B17" t="s">
        <v>91</v>
      </c>
      <c r="C17" t="s">
        <v>96</v>
      </c>
      <c r="D17" s="26">
        <v>7.8</v>
      </c>
      <c r="E17" s="26">
        <v>7.4</v>
      </c>
      <c r="F17" s="26">
        <v>7.8</v>
      </c>
      <c r="G17" s="26">
        <v>7.4</v>
      </c>
      <c r="H17" s="26">
        <v>-42.36</v>
      </c>
      <c r="I17" t="s">
        <v>98</v>
      </c>
      <c r="N17" s="11"/>
    </row>
    <row r="18" spans="1:14" x14ac:dyDescent="0.35">
      <c r="A18">
        <v>23</v>
      </c>
      <c r="B18" t="s">
        <v>91</v>
      </c>
      <c r="C18" t="s">
        <v>96</v>
      </c>
      <c r="D18" s="26">
        <v>6.3</v>
      </c>
      <c r="E18" s="26">
        <v>6.6</v>
      </c>
      <c r="F18" s="26">
        <v>6.3</v>
      </c>
      <c r="G18" s="26">
        <v>6.6</v>
      </c>
      <c r="H18" s="26">
        <v>27.64</v>
      </c>
      <c r="I18" t="s">
        <v>90</v>
      </c>
      <c r="J18" t="s">
        <v>93</v>
      </c>
      <c r="N18" s="11">
        <v>45397</v>
      </c>
    </row>
    <row r="19" spans="1:14" x14ac:dyDescent="0.35">
      <c r="A19">
        <v>24</v>
      </c>
      <c r="B19" t="s">
        <v>91</v>
      </c>
      <c r="C19" t="s">
        <v>92</v>
      </c>
      <c r="D19" s="26">
        <v>5.8</v>
      </c>
      <c r="E19" s="26">
        <v>6</v>
      </c>
      <c r="F19" s="26">
        <v>5.8</v>
      </c>
      <c r="G19" s="26">
        <v>6</v>
      </c>
      <c r="H19" s="26">
        <v>17.64</v>
      </c>
      <c r="I19" t="s">
        <v>90</v>
      </c>
      <c r="J19" t="s">
        <v>93</v>
      </c>
      <c r="M19" t="s">
        <v>94</v>
      </c>
      <c r="N19" s="11">
        <v>45401</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1"/>
  <sheetViews>
    <sheetView workbookViewId="0">
      <selection activeCell="K34" sqref="K34"/>
    </sheetView>
  </sheetViews>
  <sheetFormatPr defaultRowHeight="14.5" x14ac:dyDescent="0.35"/>
  <cols>
    <col min="1" max="4" width="8.7265625" style="14" customWidth="1"/>
  </cols>
  <sheetData>
    <row r="1" spans="1:6" x14ac:dyDescent="0.35">
      <c r="A1" s="14" t="s">
        <v>51</v>
      </c>
      <c r="B1" s="14" t="s">
        <v>107</v>
      </c>
      <c r="C1" s="14" t="s">
        <v>108</v>
      </c>
      <c r="D1" s="14" t="s">
        <v>109</v>
      </c>
      <c r="E1" t="s">
        <v>110</v>
      </c>
      <c r="F1" t="s">
        <v>111</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L12"/>
  <sheetViews>
    <sheetView workbookViewId="0">
      <selection activeCell="L11" sqref="L11"/>
    </sheetView>
  </sheetViews>
  <sheetFormatPr defaultRowHeight="14.5" x14ac:dyDescent="0.35"/>
  <cols>
    <col min="1" max="1" width="18.90625" customWidth="1"/>
  </cols>
  <sheetData>
    <row r="1" spans="1:12" x14ac:dyDescent="0.35">
      <c r="A1" s="1" t="s">
        <v>112</v>
      </c>
      <c r="B1" s="1" t="s">
        <v>11</v>
      </c>
      <c r="C1" s="1" t="s">
        <v>12</v>
      </c>
      <c r="D1" s="1" t="s">
        <v>113</v>
      </c>
      <c r="E1" s="1" t="s">
        <v>60</v>
      </c>
      <c r="F1" s="1" t="s">
        <v>50</v>
      </c>
      <c r="G1" s="1" t="s">
        <v>51</v>
      </c>
      <c r="H1" s="1" t="s">
        <v>55</v>
      </c>
      <c r="I1" s="1" t="s">
        <v>61</v>
      </c>
      <c r="J1" s="1" t="s">
        <v>62</v>
      </c>
      <c r="K1" s="1" t="s">
        <v>101</v>
      </c>
      <c r="L1" s="32" t="s">
        <v>102</v>
      </c>
    </row>
    <row r="2" spans="1:12" x14ac:dyDescent="0.35">
      <c r="A2" t="s">
        <v>17</v>
      </c>
      <c r="B2" t="s">
        <v>36</v>
      </c>
      <c r="C2" t="s">
        <v>114</v>
      </c>
      <c r="D2" t="s">
        <v>115</v>
      </c>
      <c r="E2" t="s">
        <v>116</v>
      </c>
      <c r="F2" t="s">
        <v>117</v>
      </c>
      <c r="G2" t="s">
        <v>93</v>
      </c>
      <c r="H2" t="s">
        <v>118</v>
      </c>
      <c r="I2" t="s">
        <v>119</v>
      </c>
      <c r="J2" t="s">
        <v>120</v>
      </c>
      <c r="K2" t="s">
        <v>121</v>
      </c>
      <c r="L2" t="s">
        <v>122</v>
      </c>
    </row>
    <row r="3" spans="1:12" x14ac:dyDescent="0.35">
      <c r="A3" t="s">
        <v>23</v>
      </c>
      <c r="B3" t="s">
        <v>18</v>
      </c>
      <c r="C3" t="s">
        <v>123</v>
      </c>
      <c r="D3" t="s">
        <v>124</v>
      </c>
      <c r="E3" t="s">
        <v>125</v>
      </c>
      <c r="F3" t="s">
        <v>126</v>
      </c>
      <c r="G3" t="s">
        <v>127</v>
      </c>
      <c r="H3" t="s">
        <v>128</v>
      </c>
      <c r="I3" t="s">
        <v>129</v>
      </c>
      <c r="J3" t="s">
        <v>130</v>
      </c>
      <c r="K3" t="s">
        <v>94</v>
      </c>
      <c r="L3" t="s">
        <v>131</v>
      </c>
    </row>
    <row r="4" spans="1:12" x14ac:dyDescent="0.35">
      <c r="C4" t="s">
        <v>132</v>
      </c>
      <c r="D4" t="s">
        <v>133</v>
      </c>
      <c r="E4" t="s">
        <v>134</v>
      </c>
      <c r="G4" t="s">
        <v>135</v>
      </c>
      <c r="I4" t="s">
        <v>136</v>
      </c>
      <c r="J4" t="s">
        <v>137</v>
      </c>
      <c r="K4" t="s">
        <v>138</v>
      </c>
      <c r="L4" t="s">
        <v>131</v>
      </c>
    </row>
    <row r="5" spans="1:12" x14ac:dyDescent="0.35">
      <c r="C5" t="s">
        <v>19</v>
      </c>
      <c r="D5" t="s">
        <v>139</v>
      </c>
      <c r="E5" t="s">
        <v>140</v>
      </c>
      <c r="G5" t="s">
        <v>141</v>
      </c>
      <c r="L5" t="s">
        <v>122</v>
      </c>
    </row>
    <row r="6" spans="1:12" x14ac:dyDescent="0.35">
      <c r="C6" t="s">
        <v>142</v>
      </c>
      <c r="E6" t="s">
        <v>143</v>
      </c>
      <c r="G6" t="s">
        <v>144</v>
      </c>
      <c r="L6" t="s">
        <v>122</v>
      </c>
    </row>
    <row r="7" spans="1:12" x14ac:dyDescent="0.35">
      <c r="C7" t="s">
        <v>31</v>
      </c>
      <c r="E7" t="s">
        <v>145</v>
      </c>
      <c r="G7" t="s">
        <v>146</v>
      </c>
      <c r="L7" t="s">
        <v>147</v>
      </c>
    </row>
    <row r="8" spans="1:12" x14ac:dyDescent="0.35">
      <c r="C8" t="s">
        <v>148</v>
      </c>
      <c r="G8" t="s">
        <v>149</v>
      </c>
      <c r="L8" t="s">
        <v>147</v>
      </c>
    </row>
    <row r="9" spans="1:12" x14ac:dyDescent="0.35">
      <c r="C9" t="s">
        <v>150</v>
      </c>
      <c r="G9" t="s">
        <v>151</v>
      </c>
      <c r="L9" t="s">
        <v>147</v>
      </c>
    </row>
    <row r="10" spans="1:12" x14ac:dyDescent="0.35">
      <c r="C10" t="s">
        <v>37</v>
      </c>
      <c r="G10" t="s">
        <v>152</v>
      </c>
      <c r="L10" t="s">
        <v>122</v>
      </c>
    </row>
    <row r="11" spans="1:12" x14ac:dyDescent="0.35">
      <c r="C11" t="s">
        <v>153</v>
      </c>
      <c r="G11" t="s">
        <v>154</v>
      </c>
      <c r="L11" t="s">
        <v>147</v>
      </c>
    </row>
    <row r="12" spans="1:12" x14ac:dyDescent="0.35">
      <c r="C12" t="s">
        <v>33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tabColor rgb="FF92D050"/>
  </sheetPr>
  <dimension ref="A1:L16"/>
  <sheetViews>
    <sheetView workbookViewId="0">
      <selection activeCell="O40" sqref="O40"/>
    </sheetView>
  </sheetViews>
  <sheetFormatPr defaultRowHeight="14.5" x14ac:dyDescent="0.35"/>
  <cols>
    <col min="1" max="1" width="18.90625" customWidth="1"/>
  </cols>
  <sheetData>
    <row r="1" spans="1:12" x14ac:dyDescent="0.35">
      <c r="A1" s="1" t="s">
        <v>155</v>
      </c>
    </row>
    <row r="2" spans="1:12" x14ac:dyDescent="0.35">
      <c r="A2" t="s">
        <v>112</v>
      </c>
      <c r="B2" t="s">
        <v>17</v>
      </c>
      <c r="C2" t="s">
        <v>23</v>
      </c>
    </row>
    <row r="3" spans="1:12" x14ac:dyDescent="0.35">
      <c r="A3" t="s">
        <v>11</v>
      </c>
      <c r="B3" t="s">
        <v>36</v>
      </c>
      <c r="C3" t="s">
        <v>18</v>
      </c>
    </row>
    <row r="4" spans="1:12" x14ac:dyDescent="0.35">
      <c r="A4" t="s">
        <v>12</v>
      </c>
      <c r="B4" t="s">
        <v>114</v>
      </c>
      <c r="C4" t="s">
        <v>123</v>
      </c>
      <c r="D4" t="s">
        <v>132</v>
      </c>
      <c r="E4" t="s">
        <v>19</v>
      </c>
      <c r="F4" t="s">
        <v>142</v>
      </c>
      <c r="G4" t="s">
        <v>31</v>
      </c>
      <c r="H4" t="s">
        <v>148</v>
      </c>
      <c r="I4" t="s">
        <v>150</v>
      </c>
      <c r="J4" t="s">
        <v>37</v>
      </c>
      <c r="K4" t="s">
        <v>153</v>
      </c>
      <c r="L4" t="s">
        <v>33</v>
      </c>
    </row>
    <row r="5" spans="1:12" x14ac:dyDescent="0.35">
      <c r="A5" t="s">
        <v>113</v>
      </c>
      <c r="B5" t="s">
        <v>115</v>
      </c>
      <c r="C5" t="s">
        <v>124</v>
      </c>
      <c r="D5" t="s">
        <v>133</v>
      </c>
      <c r="E5" t="s">
        <v>139</v>
      </c>
    </row>
    <row r="7" spans="1:12" x14ac:dyDescent="0.35">
      <c r="A7" s="1" t="s">
        <v>145</v>
      </c>
    </row>
    <row r="8" spans="1:12" x14ac:dyDescent="0.35">
      <c r="A8" t="s">
        <v>60</v>
      </c>
      <c r="B8" t="s">
        <v>116</v>
      </c>
      <c r="C8" t="s">
        <v>125</v>
      </c>
      <c r="D8" t="s">
        <v>134</v>
      </c>
      <c r="E8" t="s">
        <v>140</v>
      </c>
      <c r="F8" t="s">
        <v>143</v>
      </c>
      <c r="G8" t="s">
        <v>145</v>
      </c>
    </row>
    <row r="9" spans="1:12" x14ac:dyDescent="0.35">
      <c r="A9" t="s">
        <v>50</v>
      </c>
      <c r="B9" t="s">
        <v>117</v>
      </c>
      <c r="C9" t="s">
        <v>126</v>
      </c>
    </row>
    <row r="10" spans="1:12" x14ac:dyDescent="0.35">
      <c r="A10" t="s">
        <v>51</v>
      </c>
      <c r="B10" t="s">
        <v>93</v>
      </c>
      <c r="C10" t="s">
        <v>127</v>
      </c>
      <c r="D10" t="s">
        <v>135</v>
      </c>
      <c r="E10" t="s">
        <v>141</v>
      </c>
      <c r="F10" t="s">
        <v>144</v>
      </c>
      <c r="G10" t="s">
        <v>146</v>
      </c>
      <c r="H10" t="s">
        <v>149</v>
      </c>
      <c r="I10" t="s">
        <v>151</v>
      </c>
      <c r="J10" t="s">
        <v>152</v>
      </c>
      <c r="K10" t="s">
        <v>154</v>
      </c>
    </row>
    <row r="11" spans="1:12" x14ac:dyDescent="0.35">
      <c r="A11" t="s">
        <v>55</v>
      </c>
      <c r="B11" t="s">
        <v>118</v>
      </c>
      <c r="C11" t="s">
        <v>128</v>
      </c>
    </row>
    <row r="12" spans="1:12" x14ac:dyDescent="0.35">
      <c r="A12" t="s">
        <v>61</v>
      </c>
      <c r="B12" t="s">
        <v>119</v>
      </c>
      <c r="C12" t="s">
        <v>129</v>
      </c>
      <c r="D12" t="s">
        <v>136</v>
      </c>
    </row>
    <row r="13" spans="1:12" x14ac:dyDescent="0.35">
      <c r="A13" t="s">
        <v>62</v>
      </c>
      <c r="B13" t="s">
        <v>120</v>
      </c>
      <c r="C13" t="s">
        <v>130</v>
      </c>
      <c r="D13" t="s">
        <v>137</v>
      </c>
    </row>
    <row r="15" spans="1:12" x14ac:dyDescent="0.35">
      <c r="A15" s="1" t="s">
        <v>156</v>
      </c>
    </row>
    <row r="16" spans="1:12" x14ac:dyDescent="0.35">
      <c r="A16" t="s">
        <v>60</v>
      </c>
      <c r="B16" t="s">
        <v>116</v>
      </c>
      <c r="C16" t="s">
        <v>125</v>
      </c>
      <c r="D16" t="s">
        <v>134</v>
      </c>
      <c r="E16" t="s">
        <v>140</v>
      </c>
      <c r="F16" t="s">
        <v>143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AP10"/>
  <sheetViews>
    <sheetView workbookViewId="0">
      <selection activeCell="K1" sqref="K1"/>
    </sheetView>
  </sheetViews>
  <sheetFormatPr defaultRowHeight="14.5" x14ac:dyDescent="0.35"/>
  <cols>
    <col min="20" max="20" width="10.54296875" customWidth="1"/>
    <col min="26" max="26" width="9.54296875" customWidth="1"/>
  </cols>
  <sheetData>
    <row r="1" spans="1:42" x14ac:dyDescent="0.35">
      <c r="A1" t="s">
        <v>64</v>
      </c>
      <c r="B1" t="s">
        <v>3</v>
      </c>
      <c r="C1" t="s">
        <v>65</v>
      </c>
      <c r="D1" t="s">
        <v>66</v>
      </c>
      <c r="E1" t="s">
        <v>67</v>
      </c>
      <c r="F1" t="s">
        <v>157</v>
      </c>
      <c r="G1" t="s">
        <v>158</v>
      </c>
      <c r="H1" t="s">
        <v>159</v>
      </c>
      <c r="I1" t="s">
        <v>160</v>
      </c>
      <c r="J1" t="s">
        <v>79</v>
      </c>
      <c r="K1" t="s">
        <v>80</v>
      </c>
      <c r="L1" t="s">
        <v>161</v>
      </c>
      <c r="M1" t="s">
        <v>162</v>
      </c>
      <c r="N1" t="s">
        <v>81</v>
      </c>
      <c r="O1" t="s">
        <v>82</v>
      </c>
      <c r="P1" t="s">
        <v>83</v>
      </c>
      <c r="Q1" t="s">
        <v>163</v>
      </c>
      <c r="R1" t="s">
        <v>59</v>
      </c>
      <c r="S1" t="s">
        <v>164</v>
      </c>
      <c r="T1" t="s">
        <v>165</v>
      </c>
      <c r="U1" t="s">
        <v>84</v>
      </c>
      <c r="V1" t="s">
        <v>166</v>
      </c>
      <c r="W1" t="s">
        <v>167</v>
      </c>
      <c r="X1" t="s">
        <v>168</v>
      </c>
      <c r="Y1" t="s">
        <v>169</v>
      </c>
      <c r="Z1" t="s">
        <v>170</v>
      </c>
      <c r="AA1" t="s">
        <v>171</v>
      </c>
      <c r="AB1" t="s">
        <v>172</v>
      </c>
      <c r="AC1" t="s">
        <v>173</v>
      </c>
      <c r="AD1" t="s">
        <v>174</v>
      </c>
      <c r="AE1" t="s">
        <v>175</v>
      </c>
      <c r="AF1" t="s">
        <v>176</v>
      </c>
      <c r="AG1" t="s">
        <v>177</v>
      </c>
      <c r="AH1" t="s">
        <v>178</v>
      </c>
      <c r="AI1" t="s">
        <v>179</v>
      </c>
      <c r="AJ1" t="s">
        <v>180</v>
      </c>
      <c r="AK1" t="s">
        <v>86</v>
      </c>
      <c r="AL1" t="s">
        <v>87</v>
      </c>
      <c r="AM1" t="s">
        <v>181</v>
      </c>
      <c r="AN1" t="s">
        <v>182</v>
      </c>
      <c r="AO1" t="s">
        <v>88</v>
      </c>
      <c r="AP1" t="s">
        <v>89</v>
      </c>
    </row>
    <row r="2" spans="1:42" x14ac:dyDescent="0.35">
      <c r="A2" t="s">
        <v>90</v>
      </c>
      <c r="B2" t="s">
        <v>27</v>
      </c>
      <c r="C2">
        <v>25</v>
      </c>
      <c r="D2" t="s">
        <v>99</v>
      </c>
      <c r="E2" t="s">
        <v>106</v>
      </c>
      <c r="F2" t="s">
        <v>183</v>
      </c>
      <c r="G2" t="s">
        <v>184</v>
      </c>
      <c r="J2" s="26">
        <v>58.599899999999998</v>
      </c>
      <c r="K2" s="26">
        <v>78.010000000000005</v>
      </c>
      <c r="L2" s="26">
        <v>485.25</v>
      </c>
      <c r="M2" t="s">
        <v>185</v>
      </c>
      <c r="N2" s="26">
        <v>58.599899999999998</v>
      </c>
      <c r="O2" s="26">
        <v>78.010000000000005</v>
      </c>
      <c r="P2" s="26">
        <v>485.25</v>
      </c>
      <c r="Q2" s="26"/>
      <c r="T2" s="26">
        <v>0</v>
      </c>
      <c r="U2" t="s">
        <v>100</v>
      </c>
      <c r="V2" t="s">
        <v>186</v>
      </c>
      <c r="Y2" t="s">
        <v>187</v>
      </c>
      <c r="Z2" s="26">
        <v>1465</v>
      </c>
      <c r="AA2">
        <v>2</v>
      </c>
      <c r="AB2" s="26"/>
      <c r="AD2" t="s">
        <v>188</v>
      </c>
      <c r="AE2" t="s">
        <v>106</v>
      </c>
      <c r="AF2" t="s">
        <v>189</v>
      </c>
      <c r="AH2" t="s">
        <v>190</v>
      </c>
      <c r="AI2" s="26">
        <v>19.41</v>
      </c>
      <c r="AJ2">
        <v>0</v>
      </c>
      <c r="AK2">
        <v>-58.247500000000002</v>
      </c>
      <c r="AL2">
        <v>603.75300000000004</v>
      </c>
      <c r="AO2" s="26">
        <v>674</v>
      </c>
      <c r="AP2">
        <v>46.01</v>
      </c>
    </row>
    <row r="3" spans="1:42" x14ac:dyDescent="0.35">
      <c r="A3" t="s">
        <v>191</v>
      </c>
      <c r="B3" t="s">
        <v>192</v>
      </c>
      <c r="C3">
        <v>9</v>
      </c>
      <c r="D3" t="s">
        <v>193</v>
      </c>
      <c r="E3" t="s">
        <v>193</v>
      </c>
      <c r="F3" t="s">
        <v>194</v>
      </c>
      <c r="G3" t="s">
        <v>194</v>
      </c>
      <c r="J3" s="26">
        <v>175.91</v>
      </c>
      <c r="K3" s="26"/>
      <c r="L3" s="26"/>
      <c r="N3" s="26">
        <v>175.91</v>
      </c>
      <c r="O3" s="26"/>
      <c r="P3" s="26">
        <v>0</v>
      </c>
      <c r="Q3" s="26"/>
      <c r="T3" s="26">
        <v>0</v>
      </c>
      <c r="U3" t="s">
        <v>100</v>
      </c>
      <c r="V3" t="s">
        <v>186</v>
      </c>
      <c r="Y3" t="s">
        <v>187</v>
      </c>
      <c r="Z3" s="26">
        <v>1583.19</v>
      </c>
      <c r="AA3">
        <v>1</v>
      </c>
      <c r="AB3" s="26"/>
      <c r="AD3" t="s">
        <v>195</v>
      </c>
      <c r="AE3" t="s">
        <v>193</v>
      </c>
      <c r="AF3" t="s">
        <v>196</v>
      </c>
      <c r="AG3">
        <v>9</v>
      </c>
      <c r="AH3" t="s">
        <v>190</v>
      </c>
      <c r="AI3" s="26"/>
      <c r="AJ3">
        <v>0</v>
      </c>
      <c r="AO3" s="26"/>
    </row>
    <row r="4" spans="1:42" x14ac:dyDescent="0.35">
      <c r="A4" t="s">
        <v>191</v>
      </c>
      <c r="B4" t="s">
        <v>30</v>
      </c>
      <c r="C4">
        <v>6</v>
      </c>
      <c r="D4" t="s">
        <v>193</v>
      </c>
      <c r="E4" t="s">
        <v>193</v>
      </c>
      <c r="F4" t="s">
        <v>197</v>
      </c>
      <c r="G4" t="s">
        <v>197</v>
      </c>
      <c r="J4" s="26">
        <v>170.19</v>
      </c>
      <c r="K4" s="26"/>
      <c r="L4" s="26"/>
      <c r="N4" s="26">
        <v>170.19</v>
      </c>
      <c r="O4" s="26"/>
      <c r="P4" s="26">
        <v>0</v>
      </c>
      <c r="Q4" s="26"/>
      <c r="T4" s="26">
        <v>0</v>
      </c>
      <c r="U4" t="s">
        <v>100</v>
      </c>
      <c r="V4" t="s">
        <v>186</v>
      </c>
      <c r="Y4" t="s">
        <v>187</v>
      </c>
      <c r="Z4" s="26">
        <v>1021.14</v>
      </c>
      <c r="AA4">
        <v>1</v>
      </c>
      <c r="AB4" s="26"/>
      <c r="AD4" t="s">
        <v>195</v>
      </c>
      <c r="AE4" t="s">
        <v>193</v>
      </c>
      <c r="AF4" t="s">
        <v>196</v>
      </c>
      <c r="AG4">
        <v>6</v>
      </c>
      <c r="AH4" t="s">
        <v>190</v>
      </c>
      <c r="AI4" s="26"/>
      <c r="AJ4">
        <v>0</v>
      </c>
      <c r="AO4" s="26"/>
    </row>
    <row r="5" spans="1:42" x14ac:dyDescent="0.35">
      <c r="A5" t="s">
        <v>191</v>
      </c>
      <c r="B5" t="s">
        <v>198</v>
      </c>
      <c r="C5">
        <v>75</v>
      </c>
      <c r="D5" t="s">
        <v>199</v>
      </c>
      <c r="E5" t="s">
        <v>199</v>
      </c>
      <c r="F5" t="s">
        <v>200</v>
      </c>
      <c r="G5" t="s">
        <v>201</v>
      </c>
      <c r="J5" s="26">
        <v>26.55</v>
      </c>
      <c r="K5" s="26"/>
      <c r="L5" s="26"/>
      <c r="N5" s="26">
        <v>26.54</v>
      </c>
      <c r="O5" s="26"/>
      <c r="P5" s="26">
        <v>0</v>
      </c>
      <c r="Q5" s="26"/>
      <c r="T5" s="26">
        <v>0</v>
      </c>
      <c r="U5" t="s">
        <v>100</v>
      </c>
      <c r="V5" t="s">
        <v>186</v>
      </c>
      <c r="Y5" t="s">
        <v>187</v>
      </c>
      <c r="Z5" s="26">
        <v>1990.5</v>
      </c>
      <c r="AA5">
        <v>2</v>
      </c>
      <c r="AB5" s="26"/>
      <c r="AD5" t="s">
        <v>202</v>
      </c>
      <c r="AE5" t="s">
        <v>199</v>
      </c>
      <c r="AF5" t="s">
        <v>189</v>
      </c>
      <c r="AG5">
        <v>75</v>
      </c>
      <c r="AH5" t="s">
        <v>190</v>
      </c>
      <c r="AI5" s="26"/>
      <c r="AJ5">
        <v>0</v>
      </c>
      <c r="AO5" s="26"/>
    </row>
    <row r="6" spans="1:42" x14ac:dyDescent="0.35">
      <c r="A6" t="s">
        <v>98</v>
      </c>
      <c r="B6" t="s">
        <v>91</v>
      </c>
      <c r="C6">
        <v>1</v>
      </c>
      <c r="D6" t="s">
        <v>96</v>
      </c>
      <c r="E6" t="s">
        <v>96</v>
      </c>
      <c r="F6" t="s">
        <v>203</v>
      </c>
      <c r="G6" t="s">
        <v>204</v>
      </c>
      <c r="J6" s="26">
        <v>7.8</v>
      </c>
      <c r="K6" s="26">
        <v>7.4</v>
      </c>
      <c r="L6" s="26">
        <v>-40</v>
      </c>
      <c r="M6" t="s">
        <v>205</v>
      </c>
      <c r="N6" s="26">
        <v>7.8</v>
      </c>
      <c r="O6" s="26">
        <v>7.4</v>
      </c>
      <c r="P6" s="26">
        <v>-42.36</v>
      </c>
      <c r="Q6" s="26">
        <v>1.3</v>
      </c>
      <c r="S6" t="s">
        <v>206</v>
      </c>
      <c r="T6" s="26">
        <v>5180</v>
      </c>
      <c r="U6" t="s">
        <v>95</v>
      </c>
      <c r="V6" t="s">
        <v>186</v>
      </c>
      <c r="Y6" t="s">
        <v>187</v>
      </c>
      <c r="Z6" s="26">
        <v>780</v>
      </c>
      <c r="AA6">
        <v>2</v>
      </c>
      <c r="AB6" s="26">
        <v>1.06</v>
      </c>
      <c r="AD6" t="s">
        <v>207</v>
      </c>
      <c r="AE6" t="s">
        <v>96</v>
      </c>
      <c r="AF6" t="s">
        <v>208</v>
      </c>
      <c r="AH6" t="s">
        <v>190</v>
      </c>
      <c r="AI6" s="26">
        <v>-40</v>
      </c>
      <c r="AJ6">
        <v>0</v>
      </c>
      <c r="AK6">
        <v>-40</v>
      </c>
      <c r="AO6" s="26"/>
    </row>
    <row r="7" spans="1:42" x14ac:dyDescent="0.35">
      <c r="A7" t="s">
        <v>90</v>
      </c>
      <c r="B7" t="s">
        <v>91</v>
      </c>
      <c r="C7">
        <v>1</v>
      </c>
      <c r="D7" t="s">
        <v>96</v>
      </c>
      <c r="E7" t="s">
        <v>96</v>
      </c>
      <c r="F7" t="s">
        <v>209</v>
      </c>
      <c r="G7" t="s">
        <v>210</v>
      </c>
      <c r="H7" t="s">
        <v>211</v>
      </c>
      <c r="J7" s="26">
        <v>6.3</v>
      </c>
      <c r="K7" s="26">
        <v>6.6</v>
      </c>
      <c r="L7" s="26">
        <v>30</v>
      </c>
      <c r="M7" t="s">
        <v>212</v>
      </c>
      <c r="N7" s="26">
        <v>6.3</v>
      </c>
      <c r="O7" s="26">
        <v>6.6</v>
      </c>
      <c r="P7" s="26">
        <v>27.64</v>
      </c>
      <c r="Q7" s="26">
        <v>1.3</v>
      </c>
      <c r="S7" t="s">
        <v>206</v>
      </c>
      <c r="T7" s="26">
        <v>5180</v>
      </c>
      <c r="U7" t="s">
        <v>95</v>
      </c>
      <c r="V7" t="s">
        <v>186</v>
      </c>
      <c r="Y7" t="s">
        <v>187</v>
      </c>
      <c r="Z7" s="26">
        <v>630</v>
      </c>
      <c r="AA7">
        <v>2</v>
      </c>
      <c r="AB7" s="26">
        <v>1.06</v>
      </c>
      <c r="AD7" t="s">
        <v>213</v>
      </c>
      <c r="AE7" t="s">
        <v>96</v>
      </c>
      <c r="AF7" t="s">
        <v>208</v>
      </c>
      <c r="AH7" t="s">
        <v>190</v>
      </c>
      <c r="AI7" s="26">
        <v>30</v>
      </c>
      <c r="AJ7">
        <v>0</v>
      </c>
      <c r="AK7">
        <v>20</v>
      </c>
      <c r="AL7">
        <v>30</v>
      </c>
      <c r="AO7" s="26"/>
    </row>
    <row r="8" spans="1:42" x14ac:dyDescent="0.35">
      <c r="A8" t="s">
        <v>90</v>
      </c>
      <c r="B8" t="s">
        <v>91</v>
      </c>
      <c r="C8">
        <v>1</v>
      </c>
      <c r="D8" t="s">
        <v>92</v>
      </c>
      <c r="E8" t="s">
        <v>92</v>
      </c>
      <c r="F8" t="s">
        <v>214</v>
      </c>
      <c r="G8" t="s">
        <v>215</v>
      </c>
      <c r="H8" t="s">
        <v>93</v>
      </c>
      <c r="I8" t="s">
        <v>94</v>
      </c>
      <c r="J8" s="26">
        <v>5.8</v>
      </c>
      <c r="K8" s="26">
        <v>6</v>
      </c>
      <c r="L8" s="26">
        <v>20</v>
      </c>
      <c r="M8" t="s">
        <v>216</v>
      </c>
      <c r="N8" s="26">
        <v>5.8</v>
      </c>
      <c r="O8" s="26">
        <v>6</v>
      </c>
      <c r="P8" s="26">
        <v>17.64</v>
      </c>
      <c r="Q8" s="26">
        <v>1.3</v>
      </c>
      <c r="S8" t="s">
        <v>217</v>
      </c>
      <c r="T8" s="26">
        <v>4970</v>
      </c>
      <c r="U8" t="s">
        <v>95</v>
      </c>
      <c r="V8" t="s">
        <v>186</v>
      </c>
      <c r="Y8" t="s">
        <v>187</v>
      </c>
      <c r="Z8" s="26">
        <v>580</v>
      </c>
      <c r="AA8">
        <v>2</v>
      </c>
      <c r="AB8" s="26">
        <v>1.06</v>
      </c>
      <c r="AD8" t="s">
        <v>218</v>
      </c>
      <c r="AE8" t="s">
        <v>92</v>
      </c>
      <c r="AF8" t="s">
        <v>208</v>
      </c>
      <c r="AH8" t="s">
        <v>190</v>
      </c>
      <c r="AI8" s="26">
        <v>20</v>
      </c>
      <c r="AJ8">
        <v>0</v>
      </c>
      <c r="AK8">
        <v>-95</v>
      </c>
      <c r="AL8">
        <v>20</v>
      </c>
      <c r="AO8" s="26"/>
    </row>
    <row r="9" spans="1:42" x14ac:dyDescent="0.35">
      <c r="A9" t="s">
        <v>191</v>
      </c>
      <c r="B9" t="s">
        <v>27</v>
      </c>
      <c r="C9">
        <v>13</v>
      </c>
      <c r="D9" t="s">
        <v>219</v>
      </c>
      <c r="E9" t="s">
        <v>219</v>
      </c>
      <c r="F9" t="s">
        <v>220</v>
      </c>
      <c r="G9" t="s">
        <v>220</v>
      </c>
      <c r="J9" s="26">
        <v>71.95</v>
      </c>
      <c r="K9" s="26"/>
      <c r="L9" s="26"/>
      <c r="N9" s="26">
        <v>71.95</v>
      </c>
      <c r="O9" s="26"/>
      <c r="P9" s="26">
        <v>0</v>
      </c>
      <c r="Q9" s="26"/>
      <c r="T9" s="26">
        <v>0</v>
      </c>
      <c r="U9" t="s">
        <v>100</v>
      </c>
      <c r="V9" t="s">
        <v>186</v>
      </c>
      <c r="Y9" t="s">
        <v>187</v>
      </c>
      <c r="Z9" s="26">
        <v>935.35</v>
      </c>
      <c r="AA9">
        <v>1</v>
      </c>
      <c r="AB9" s="26"/>
      <c r="AD9" t="s">
        <v>195</v>
      </c>
      <c r="AE9" t="s">
        <v>219</v>
      </c>
      <c r="AF9" t="s">
        <v>189</v>
      </c>
      <c r="AG9">
        <v>13</v>
      </c>
      <c r="AH9" t="s">
        <v>190</v>
      </c>
      <c r="AI9" s="26"/>
      <c r="AJ9">
        <v>0</v>
      </c>
      <c r="AO9" s="26"/>
    </row>
    <row r="10" spans="1:42" x14ac:dyDescent="0.35">
      <c r="A10" t="s">
        <v>191</v>
      </c>
      <c r="B10" t="s">
        <v>221</v>
      </c>
      <c r="C10">
        <v>22</v>
      </c>
      <c r="D10" t="s">
        <v>222</v>
      </c>
      <c r="E10" t="s">
        <v>222</v>
      </c>
      <c r="F10" t="s">
        <v>223</v>
      </c>
      <c r="G10" t="s">
        <v>223</v>
      </c>
      <c r="J10" s="26">
        <v>17.629899999999999</v>
      </c>
      <c r="K10" s="26"/>
      <c r="L10" s="26"/>
      <c r="N10" s="26">
        <v>17.629899999999999</v>
      </c>
      <c r="O10" s="26"/>
      <c r="P10" s="26">
        <v>0</v>
      </c>
      <c r="Q10" s="26"/>
      <c r="T10" s="26">
        <v>0</v>
      </c>
      <c r="U10" t="s">
        <v>100</v>
      </c>
      <c r="V10" t="s">
        <v>186</v>
      </c>
      <c r="Y10" t="s">
        <v>187</v>
      </c>
      <c r="Z10" s="26">
        <v>387.86</v>
      </c>
      <c r="AA10">
        <v>1</v>
      </c>
      <c r="AB10" s="26"/>
      <c r="AD10" t="s">
        <v>195</v>
      </c>
      <c r="AE10" t="s">
        <v>222</v>
      </c>
      <c r="AF10" t="s">
        <v>117</v>
      </c>
      <c r="AG10">
        <v>22</v>
      </c>
      <c r="AH10" t="s">
        <v>190</v>
      </c>
      <c r="AI10" s="26"/>
      <c r="AJ10">
        <v>0</v>
      </c>
      <c r="AO10" s="26"/>
    </row>
  </sheetData>
  <pageMargins left="0.75" right="0.75" top="1" bottom="1" header="0.5" footer="0.5"/>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tabColor rgb="FF00B0F0"/>
  </sheetPr>
  <dimension ref="A1:R11"/>
  <sheetViews>
    <sheetView workbookViewId="0">
      <selection activeCell="C3" sqref="C3"/>
    </sheetView>
  </sheetViews>
  <sheetFormatPr defaultRowHeight="14.5" x14ac:dyDescent="0.35"/>
  <cols>
    <col min="1" max="1" width="31.36328125" customWidth="1"/>
    <col min="2" max="2" width="8.7265625" customWidth="1"/>
    <col min="3" max="3" width="47.08984375" customWidth="1"/>
  </cols>
  <sheetData>
    <row r="1" spans="1:18" x14ac:dyDescent="0.35">
      <c r="A1" t="s">
        <v>411</v>
      </c>
      <c r="B1" t="s">
        <v>225</v>
      </c>
      <c r="C1" t="s">
        <v>226</v>
      </c>
      <c r="D1" t="s">
        <v>227</v>
      </c>
      <c r="E1" t="s">
        <v>228</v>
      </c>
      <c r="F1" t="s">
        <v>230</v>
      </c>
      <c r="G1" t="s">
        <v>232</v>
      </c>
      <c r="H1" t="s">
        <v>234</v>
      </c>
      <c r="I1" t="s">
        <v>235</v>
      </c>
      <c r="J1" t="s">
        <v>236</v>
      </c>
      <c r="K1" t="s">
        <v>237</v>
      </c>
      <c r="L1" t="s">
        <v>239</v>
      </c>
      <c r="M1" t="s">
        <v>240</v>
      </c>
      <c r="N1" t="s">
        <v>241</v>
      </c>
      <c r="O1" t="s">
        <v>242</v>
      </c>
      <c r="P1" t="s">
        <v>243</v>
      </c>
      <c r="Q1" t="s">
        <v>245</v>
      </c>
      <c r="R1" t="s">
        <v>246</v>
      </c>
    </row>
    <row r="2" spans="1:18" x14ac:dyDescent="0.35">
      <c r="A2" s="1" t="s">
        <v>224</v>
      </c>
      <c r="B2" t="str">
        <f>J2&amp;","&amp;K2&amp;","&amp;L2</f>
        <v>Size of the trade will need to be improved,Options versus stock will need definition,Early entries worth it or not,Come up with an RR value,Correlation of confirmation bias,Exited as defined in the criteria or not. Max gain analysis. ,Yes</v>
      </c>
      <c r="C2" t="s">
        <v>371</v>
      </c>
      <c r="D2" t="s">
        <v>378</v>
      </c>
      <c r="E2" t="s">
        <v>229</v>
      </c>
      <c r="F2" t="s">
        <v>231</v>
      </c>
      <c r="G2" t="s">
        <v>233</v>
      </c>
      <c r="H2" t="s">
        <v>372</v>
      </c>
      <c r="I2" t="s">
        <v>373</v>
      </c>
      <c r="J2" t="s">
        <v>374</v>
      </c>
      <c r="K2" t="s">
        <v>238</v>
      </c>
      <c r="L2" t="s">
        <v>29</v>
      </c>
      <c r="M2" t="s">
        <v>131</v>
      </c>
      <c r="N2" t="s">
        <v>29</v>
      </c>
      <c r="O2" t="s">
        <v>375</v>
      </c>
      <c r="P2" t="s">
        <v>376</v>
      </c>
      <c r="Q2" t="s">
        <v>377</v>
      </c>
    </row>
    <row r="3" spans="1:18" x14ac:dyDescent="0.35">
      <c r="A3" s="1" t="s">
        <v>247</v>
      </c>
      <c r="B3" t="s">
        <v>248</v>
      </c>
      <c r="C3" t="s">
        <v>371</v>
      </c>
      <c r="D3" t="s">
        <v>249</v>
      </c>
      <c r="E3" t="s">
        <v>250</v>
      </c>
      <c r="F3" t="s">
        <v>251</v>
      </c>
      <c r="G3" t="s">
        <v>252</v>
      </c>
      <c r="H3" t="s">
        <v>139</v>
      </c>
      <c r="I3" t="s">
        <v>139</v>
      </c>
      <c r="J3" t="s">
        <v>379</v>
      </c>
      <c r="K3" t="s">
        <v>253</v>
      </c>
      <c r="L3" t="s">
        <v>139</v>
      </c>
      <c r="M3" t="s">
        <v>122</v>
      </c>
      <c r="N3" t="s">
        <v>29</v>
      </c>
      <c r="O3" t="s">
        <v>375</v>
      </c>
      <c r="P3" t="s">
        <v>380</v>
      </c>
      <c r="Q3" t="s">
        <v>381</v>
      </c>
    </row>
    <row r="4" spans="1:18" x14ac:dyDescent="0.35">
      <c r="A4" s="1" t="s">
        <v>254</v>
      </c>
      <c r="B4" t="s">
        <v>382</v>
      </c>
      <c r="C4" t="s">
        <v>371</v>
      </c>
      <c r="D4" t="s">
        <v>383</v>
      </c>
      <c r="E4" t="s">
        <v>229</v>
      </c>
      <c r="F4" t="s">
        <v>231</v>
      </c>
      <c r="G4" t="s">
        <v>233</v>
      </c>
      <c r="H4" t="s">
        <v>384</v>
      </c>
      <c r="I4" t="s">
        <v>373</v>
      </c>
      <c r="J4" t="s">
        <v>374</v>
      </c>
      <c r="K4" t="s">
        <v>385</v>
      </c>
      <c r="L4" t="s">
        <v>29</v>
      </c>
      <c r="M4" t="s">
        <v>131</v>
      </c>
      <c r="N4" t="s">
        <v>29</v>
      </c>
      <c r="O4" t="s">
        <v>375</v>
      </c>
      <c r="P4" t="s">
        <v>376</v>
      </c>
      <c r="Q4" t="s">
        <v>386</v>
      </c>
    </row>
    <row r="5" spans="1:18" x14ac:dyDescent="0.35">
      <c r="A5" s="1" t="s">
        <v>255</v>
      </c>
      <c r="B5" t="s">
        <v>387</v>
      </c>
      <c r="C5" t="s">
        <v>371</v>
      </c>
      <c r="D5" t="s">
        <v>388</v>
      </c>
      <c r="E5" t="s">
        <v>229</v>
      </c>
      <c r="F5" t="s">
        <v>231</v>
      </c>
      <c r="G5" t="s">
        <v>233</v>
      </c>
      <c r="H5" t="s">
        <v>372</v>
      </c>
      <c r="I5" t="s">
        <v>373</v>
      </c>
      <c r="J5" t="s">
        <v>374</v>
      </c>
      <c r="K5" t="s">
        <v>385</v>
      </c>
      <c r="L5" t="s">
        <v>29</v>
      </c>
      <c r="M5" t="s">
        <v>122</v>
      </c>
      <c r="N5" t="s">
        <v>29</v>
      </c>
      <c r="O5" t="s">
        <v>375</v>
      </c>
      <c r="P5" t="s">
        <v>376</v>
      </c>
      <c r="Q5" t="s">
        <v>389</v>
      </c>
    </row>
    <row r="6" spans="1:18" x14ac:dyDescent="0.35">
      <c r="A6" s="1" t="s">
        <v>256</v>
      </c>
      <c r="B6" t="s">
        <v>387</v>
      </c>
      <c r="C6" t="s">
        <v>371</v>
      </c>
      <c r="D6" t="s">
        <v>390</v>
      </c>
      <c r="E6" t="s">
        <v>257</v>
      </c>
      <c r="F6" t="s">
        <v>231</v>
      </c>
      <c r="G6" t="s">
        <v>258</v>
      </c>
      <c r="H6" t="s">
        <v>372</v>
      </c>
      <c r="I6" t="s">
        <v>373</v>
      </c>
      <c r="J6" t="s">
        <v>391</v>
      </c>
      <c r="K6" t="s">
        <v>392</v>
      </c>
      <c r="L6" t="s">
        <v>29</v>
      </c>
      <c r="M6" t="s">
        <v>122</v>
      </c>
      <c r="N6" t="s">
        <v>29</v>
      </c>
      <c r="O6" t="s">
        <v>375</v>
      </c>
      <c r="P6" t="s">
        <v>376</v>
      </c>
      <c r="Q6" t="s">
        <v>393</v>
      </c>
    </row>
    <row r="7" spans="1:18" x14ac:dyDescent="0.35">
      <c r="A7" s="1" t="s">
        <v>259</v>
      </c>
      <c r="B7" t="s">
        <v>394</v>
      </c>
      <c r="C7" t="s">
        <v>371</v>
      </c>
      <c r="D7" t="s">
        <v>395</v>
      </c>
      <c r="E7" t="s">
        <v>260</v>
      </c>
      <c r="F7" t="s">
        <v>261</v>
      </c>
      <c r="G7" t="s">
        <v>262</v>
      </c>
      <c r="H7" t="s">
        <v>372</v>
      </c>
      <c r="I7" t="s">
        <v>373</v>
      </c>
      <c r="J7" t="s">
        <v>396</v>
      </c>
      <c r="K7" t="s">
        <v>397</v>
      </c>
      <c r="L7" t="s">
        <v>29</v>
      </c>
      <c r="M7" t="s">
        <v>147</v>
      </c>
      <c r="N7" t="s">
        <v>29</v>
      </c>
      <c r="O7" t="s">
        <v>375</v>
      </c>
      <c r="P7" t="s">
        <v>376</v>
      </c>
      <c r="Q7" t="s">
        <v>398</v>
      </c>
      <c r="R7" t="s">
        <v>263</v>
      </c>
    </row>
    <row r="8" spans="1:18" x14ac:dyDescent="0.35">
      <c r="A8" s="1" t="s">
        <v>264</v>
      </c>
      <c r="B8" t="s">
        <v>394</v>
      </c>
      <c r="C8" t="s">
        <v>371</v>
      </c>
      <c r="D8" t="s">
        <v>399</v>
      </c>
      <c r="E8" t="s">
        <v>260</v>
      </c>
      <c r="F8" t="s">
        <v>261</v>
      </c>
      <c r="G8" t="s">
        <v>400</v>
      </c>
      <c r="H8" t="s">
        <v>401</v>
      </c>
      <c r="I8" t="s">
        <v>373</v>
      </c>
      <c r="J8" t="s">
        <v>402</v>
      </c>
      <c r="K8" t="s">
        <v>392</v>
      </c>
      <c r="L8" t="s">
        <v>29</v>
      </c>
      <c r="M8" t="s">
        <v>147</v>
      </c>
      <c r="N8" t="s">
        <v>29</v>
      </c>
      <c r="O8" t="s">
        <v>375</v>
      </c>
      <c r="P8" t="s">
        <v>376</v>
      </c>
      <c r="Q8" t="s">
        <v>403</v>
      </c>
      <c r="R8" t="s">
        <v>404</v>
      </c>
    </row>
    <row r="9" spans="1:18" x14ac:dyDescent="0.35">
      <c r="A9" s="1" t="s">
        <v>265</v>
      </c>
      <c r="B9" t="s">
        <v>394</v>
      </c>
      <c r="C9" t="s">
        <v>371</v>
      </c>
      <c r="D9" t="s">
        <v>405</v>
      </c>
      <c r="E9" t="s">
        <v>266</v>
      </c>
      <c r="F9" t="s">
        <v>267</v>
      </c>
      <c r="G9" t="s">
        <v>268</v>
      </c>
      <c r="H9" t="s">
        <v>401</v>
      </c>
      <c r="I9" t="s">
        <v>373</v>
      </c>
      <c r="J9" t="s">
        <v>406</v>
      </c>
      <c r="K9" t="s">
        <v>392</v>
      </c>
      <c r="L9" t="s">
        <v>29</v>
      </c>
      <c r="M9" t="s">
        <v>147</v>
      </c>
      <c r="N9" t="s">
        <v>29</v>
      </c>
      <c r="O9" t="s">
        <v>375</v>
      </c>
      <c r="P9" t="s">
        <v>376</v>
      </c>
      <c r="Q9" t="s">
        <v>407</v>
      </c>
    </row>
    <row r="10" spans="1:18" x14ac:dyDescent="0.35">
      <c r="A10" s="1" t="s">
        <v>269</v>
      </c>
      <c r="B10" t="s">
        <v>270</v>
      </c>
      <c r="C10" t="s">
        <v>371</v>
      </c>
      <c r="D10" t="s">
        <v>249</v>
      </c>
      <c r="E10" t="s">
        <v>271</v>
      </c>
      <c r="F10" t="s">
        <v>251</v>
      </c>
      <c r="G10" t="s">
        <v>272</v>
      </c>
      <c r="H10" t="s">
        <v>139</v>
      </c>
      <c r="I10" t="s">
        <v>139</v>
      </c>
      <c r="J10" t="s">
        <v>408</v>
      </c>
      <c r="K10" t="s">
        <v>273</v>
      </c>
      <c r="L10" t="s">
        <v>139</v>
      </c>
      <c r="M10" t="s">
        <v>122</v>
      </c>
      <c r="N10" t="s">
        <v>29</v>
      </c>
      <c r="O10" t="s">
        <v>375</v>
      </c>
      <c r="P10" t="s">
        <v>380</v>
      </c>
      <c r="Q10" t="s">
        <v>409</v>
      </c>
    </row>
    <row r="11" spans="1:18" x14ac:dyDescent="0.35">
      <c r="A11" s="1" t="s">
        <v>247</v>
      </c>
      <c r="B11" t="s">
        <v>248</v>
      </c>
      <c r="C11" t="s">
        <v>371</v>
      </c>
      <c r="D11" t="s">
        <v>249</v>
      </c>
      <c r="E11" t="s">
        <v>250</v>
      </c>
      <c r="F11" t="s">
        <v>274</v>
      </c>
      <c r="G11" t="s">
        <v>252</v>
      </c>
      <c r="H11" t="s">
        <v>139</v>
      </c>
      <c r="I11" t="s">
        <v>139</v>
      </c>
      <c r="J11" t="s">
        <v>379</v>
      </c>
      <c r="K11" t="s">
        <v>253</v>
      </c>
      <c r="L11" t="s">
        <v>139</v>
      </c>
      <c r="M11" t="s">
        <v>147</v>
      </c>
      <c r="N11" t="s">
        <v>29</v>
      </c>
      <c r="O11" t="s">
        <v>375</v>
      </c>
      <c r="P11" t="s">
        <v>380</v>
      </c>
      <c r="Q11" t="s">
        <v>410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00B0F0"/>
  </sheetPr>
  <dimension ref="A4:F58"/>
  <sheetViews>
    <sheetView topLeftCell="A4" workbookViewId="0">
      <selection activeCell="B57" sqref="B57"/>
    </sheetView>
  </sheetViews>
  <sheetFormatPr defaultRowHeight="14.5" x14ac:dyDescent="0.35"/>
  <cols>
    <col min="1" max="1" width="19.7265625" customWidth="1"/>
  </cols>
  <sheetData>
    <row r="4" spans="1:2" x14ac:dyDescent="0.35">
      <c r="A4" s="1" t="s">
        <v>275</v>
      </c>
    </row>
    <row r="5" spans="1:2" x14ac:dyDescent="0.35">
      <c r="A5" t="s">
        <v>276</v>
      </c>
    </row>
    <row r="6" spans="1:2" x14ac:dyDescent="0.35">
      <c r="A6" t="s">
        <v>277</v>
      </c>
    </row>
    <row r="7" spans="1:2" x14ac:dyDescent="0.35">
      <c r="A7" t="s">
        <v>278</v>
      </c>
    </row>
    <row r="8" spans="1:2" x14ac:dyDescent="0.35">
      <c r="A8" t="s">
        <v>279</v>
      </c>
    </row>
    <row r="9" spans="1:2" x14ac:dyDescent="0.35">
      <c r="A9" t="s">
        <v>280</v>
      </c>
    </row>
    <row r="10" spans="1:2" x14ac:dyDescent="0.35">
      <c r="A10" t="s">
        <v>281</v>
      </c>
    </row>
    <row r="12" spans="1:2" x14ac:dyDescent="0.35">
      <c r="A12" s="1" t="s">
        <v>282</v>
      </c>
    </row>
    <row r="13" spans="1:2" x14ac:dyDescent="0.35">
      <c r="A13" t="s">
        <v>2</v>
      </c>
      <c r="B13" t="s">
        <v>283</v>
      </c>
    </row>
    <row r="14" spans="1:2" x14ac:dyDescent="0.35">
      <c r="A14" t="s">
        <v>45</v>
      </c>
      <c r="B14" t="s">
        <v>284</v>
      </c>
    </row>
    <row r="15" spans="1:2" x14ac:dyDescent="0.35">
      <c r="A15" t="s">
        <v>9</v>
      </c>
      <c r="B15" t="s">
        <v>285</v>
      </c>
    </row>
    <row r="16" spans="1:2" x14ac:dyDescent="0.35">
      <c r="A16" t="s">
        <v>10</v>
      </c>
      <c r="B16" t="s">
        <v>286</v>
      </c>
    </row>
    <row r="17" spans="1:2" x14ac:dyDescent="0.35">
      <c r="A17" t="s">
        <v>11</v>
      </c>
      <c r="B17" t="s">
        <v>287</v>
      </c>
    </row>
    <row r="18" spans="1:2" x14ac:dyDescent="0.35">
      <c r="A18" t="s">
        <v>288</v>
      </c>
      <c r="B18" t="s">
        <v>289</v>
      </c>
    </row>
    <row r="19" spans="1:2" x14ac:dyDescent="0.35">
      <c r="A19" t="s">
        <v>290</v>
      </c>
      <c r="B19" t="s">
        <v>291</v>
      </c>
    </row>
    <row r="20" spans="1:2" x14ac:dyDescent="0.35">
      <c r="A20" t="s">
        <v>5</v>
      </c>
      <c r="B20" t="s">
        <v>292</v>
      </c>
    </row>
    <row r="21" spans="1:2" x14ac:dyDescent="0.35">
      <c r="A21" t="s">
        <v>6</v>
      </c>
      <c r="B21" t="s">
        <v>293</v>
      </c>
    </row>
    <row r="22" spans="1:2" x14ac:dyDescent="0.35">
      <c r="A22" t="s">
        <v>1</v>
      </c>
      <c r="B22" t="s">
        <v>294</v>
      </c>
    </row>
    <row r="23" spans="1:2" x14ac:dyDescent="0.35">
      <c r="A23" t="s">
        <v>14</v>
      </c>
      <c r="B23" t="s">
        <v>295</v>
      </c>
    </row>
    <row r="24" spans="1:2" x14ac:dyDescent="0.35">
      <c r="A24" t="s">
        <v>15</v>
      </c>
      <c r="B24" t="s">
        <v>296</v>
      </c>
    </row>
    <row r="26" spans="1:2" x14ac:dyDescent="0.35">
      <c r="A26" s="1" t="s">
        <v>145</v>
      </c>
    </row>
    <row r="27" spans="1:2" x14ac:dyDescent="0.35">
      <c r="A27" t="s">
        <v>45</v>
      </c>
      <c r="B27" t="s">
        <v>284</v>
      </c>
    </row>
    <row r="28" spans="1:2" x14ac:dyDescent="0.35">
      <c r="A28" t="s">
        <v>2</v>
      </c>
      <c r="B28" t="s">
        <v>283</v>
      </c>
    </row>
    <row r="29" spans="1:2" x14ac:dyDescent="0.35">
      <c r="A29" t="s">
        <v>8</v>
      </c>
      <c r="B29" t="s">
        <v>297</v>
      </c>
    </row>
    <row r="30" spans="1:2" x14ac:dyDescent="0.35">
      <c r="A30" t="s">
        <v>46</v>
      </c>
      <c r="B30" t="s">
        <v>298</v>
      </c>
    </row>
    <row r="31" spans="1:2" x14ac:dyDescent="0.35">
      <c r="A31" t="s">
        <v>47</v>
      </c>
      <c r="B31" t="s">
        <v>299</v>
      </c>
    </row>
    <row r="32" spans="1:2" x14ac:dyDescent="0.35">
      <c r="A32" t="s">
        <v>48</v>
      </c>
      <c r="B32" t="s">
        <v>300</v>
      </c>
    </row>
    <row r="33" spans="1:6" x14ac:dyDescent="0.35">
      <c r="A33" t="s">
        <v>49</v>
      </c>
      <c r="B33" t="s">
        <v>301</v>
      </c>
    </row>
    <row r="34" spans="1:6" x14ac:dyDescent="0.35">
      <c r="A34" t="s">
        <v>50</v>
      </c>
      <c r="B34" t="s">
        <v>302</v>
      </c>
    </row>
    <row r="35" spans="1:6" x14ac:dyDescent="0.35">
      <c r="A35" t="s">
        <v>51</v>
      </c>
      <c r="B35" t="s">
        <v>303</v>
      </c>
    </row>
    <row r="36" spans="1:6" x14ac:dyDescent="0.35">
      <c r="A36" t="s">
        <v>52</v>
      </c>
      <c r="B36" t="s">
        <v>304</v>
      </c>
    </row>
    <row r="37" spans="1:6" x14ac:dyDescent="0.35">
      <c r="A37" t="s">
        <v>53</v>
      </c>
      <c r="B37" t="s">
        <v>305</v>
      </c>
    </row>
    <row r="38" spans="1:6" x14ac:dyDescent="0.35">
      <c r="A38" t="s">
        <v>54</v>
      </c>
      <c r="B38" t="s">
        <v>306</v>
      </c>
    </row>
    <row r="39" spans="1:6" x14ac:dyDescent="0.35">
      <c r="A39" t="s">
        <v>55</v>
      </c>
      <c r="B39" t="s">
        <v>307</v>
      </c>
    </row>
    <row r="40" spans="1:6" x14ac:dyDescent="0.35">
      <c r="A40" t="s">
        <v>56</v>
      </c>
      <c r="B40" t="s">
        <v>308</v>
      </c>
    </row>
    <row r="41" spans="1:6" x14ac:dyDescent="0.35">
      <c r="A41" t="s">
        <v>57</v>
      </c>
      <c r="B41" t="s">
        <v>309</v>
      </c>
    </row>
    <row r="42" spans="1:6" x14ac:dyDescent="0.35">
      <c r="A42" t="s">
        <v>58</v>
      </c>
      <c r="B42" t="s">
        <v>310</v>
      </c>
    </row>
    <row r="43" spans="1:6" x14ac:dyDescent="0.35">
      <c r="A43" t="s">
        <v>59</v>
      </c>
      <c r="B43" t="s">
        <v>311</v>
      </c>
    </row>
    <row r="44" spans="1:6" x14ac:dyDescent="0.35">
      <c r="A44" t="s">
        <v>60</v>
      </c>
      <c r="B44" t="s">
        <v>116</v>
      </c>
      <c r="C44" t="s">
        <v>125</v>
      </c>
      <c r="D44" t="s">
        <v>134</v>
      </c>
      <c r="E44" t="s">
        <v>140</v>
      </c>
      <c r="F44" t="s">
        <v>143</v>
      </c>
    </row>
    <row r="45" spans="1:6" x14ac:dyDescent="0.35">
      <c r="A45" t="s">
        <v>61</v>
      </c>
      <c r="B45" t="s">
        <v>312</v>
      </c>
    </row>
    <row r="46" spans="1:6" x14ac:dyDescent="0.35">
      <c r="A46" s="16" t="s">
        <v>62</v>
      </c>
      <c r="B46" t="s">
        <v>120</v>
      </c>
      <c r="C46" t="s">
        <v>130</v>
      </c>
      <c r="D46" t="s">
        <v>137</v>
      </c>
    </row>
    <row r="47" spans="1:6" x14ac:dyDescent="0.35">
      <c r="A47" t="s">
        <v>63</v>
      </c>
      <c r="B47" t="s">
        <v>313</v>
      </c>
    </row>
    <row r="49" spans="1:6" x14ac:dyDescent="0.35">
      <c r="A49" s="1" t="s">
        <v>314</v>
      </c>
    </row>
    <row r="50" spans="1:6" x14ac:dyDescent="0.35">
      <c r="A50" t="s">
        <v>103</v>
      </c>
      <c r="B50" t="s">
        <v>315</v>
      </c>
      <c r="C50" t="s">
        <v>316</v>
      </c>
    </row>
    <row r="51" spans="1:6" x14ac:dyDescent="0.35">
      <c r="A51" t="s">
        <v>104</v>
      </c>
      <c r="B51" t="s">
        <v>244</v>
      </c>
    </row>
    <row r="52" spans="1:6" x14ac:dyDescent="0.35">
      <c r="A52" t="s">
        <v>105</v>
      </c>
      <c r="B52" t="s">
        <v>317</v>
      </c>
    </row>
    <row r="54" spans="1:6" x14ac:dyDescent="0.35">
      <c r="A54" s="1" t="s">
        <v>156</v>
      </c>
    </row>
    <row r="55" spans="1:6" x14ac:dyDescent="0.35">
      <c r="A55" t="s">
        <v>63</v>
      </c>
      <c r="B55" t="s">
        <v>318</v>
      </c>
    </row>
    <row r="56" spans="1:6" x14ac:dyDescent="0.35">
      <c r="A56" s="16" t="s">
        <v>60</v>
      </c>
      <c r="B56" t="s">
        <v>116</v>
      </c>
      <c r="C56" t="s">
        <v>125</v>
      </c>
      <c r="D56" t="s">
        <v>134</v>
      </c>
      <c r="E56" t="s">
        <v>140</v>
      </c>
      <c r="F56" t="s">
        <v>143</v>
      </c>
    </row>
    <row r="57" spans="1:6" x14ac:dyDescent="0.35">
      <c r="A57" t="s">
        <v>86</v>
      </c>
      <c r="B57" t="s">
        <v>319</v>
      </c>
    </row>
    <row r="58" spans="1:6" x14ac:dyDescent="0.35">
      <c r="A58" t="s">
        <v>87</v>
      </c>
      <c r="B58" t="s">
        <v>320</v>
      </c>
    </row>
  </sheetData>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tabColor rgb="FF00B0F0"/>
  </sheetPr>
  <dimension ref="A1:A25"/>
  <sheetViews>
    <sheetView workbookViewId="0">
      <selection activeCell="A23" sqref="A23"/>
    </sheetView>
  </sheetViews>
  <sheetFormatPr defaultRowHeight="14.5" x14ac:dyDescent="0.35"/>
  <sheetData>
    <row r="1" spans="1:1" x14ac:dyDescent="0.35">
      <c r="A1" s="1" t="s">
        <v>321</v>
      </c>
    </row>
    <row r="2" spans="1:1" x14ac:dyDescent="0.35">
      <c r="A2" s="1" t="s">
        <v>322</v>
      </c>
    </row>
    <row r="4" spans="1:1" x14ac:dyDescent="0.35">
      <c r="A4" s="1" t="s">
        <v>323</v>
      </c>
    </row>
    <row r="6" spans="1:1" x14ac:dyDescent="0.35">
      <c r="A6" t="s">
        <v>324</v>
      </c>
    </row>
    <row r="7" spans="1:1" x14ac:dyDescent="0.35">
      <c r="A7" t="s">
        <v>325</v>
      </c>
    </row>
    <row r="8" spans="1:1" x14ac:dyDescent="0.35">
      <c r="A8" t="s">
        <v>326</v>
      </c>
    </row>
    <row r="9" spans="1:1" x14ac:dyDescent="0.35">
      <c r="A9" t="s">
        <v>327</v>
      </c>
    </row>
    <row r="11" spans="1:1" x14ac:dyDescent="0.35">
      <c r="A11" s="1" t="s">
        <v>14</v>
      </c>
    </row>
    <row r="12" spans="1:1" x14ac:dyDescent="0.35">
      <c r="A12" t="s">
        <v>328</v>
      </c>
    </row>
    <row r="14" spans="1:1" x14ac:dyDescent="0.35">
      <c r="A14" s="1" t="s">
        <v>145</v>
      </c>
    </row>
    <row r="15" spans="1:1" x14ac:dyDescent="0.35">
      <c r="A15" t="s">
        <v>329</v>
      </c>
    </row>
    <row r="16" spans="1:1" x14ac:dyDescent="0.35">
      <c r="A16" s="1" t="s">
        <v>282</v>
      </c>
    </row>
    <row r="17" spans="1:1" x14ac:dyDescent="0.35">
      <c r="A17" t="s">
        <v>329</v>
      </c>
    </row>
    <row r="18" spans="1:1" x14ac:dyDescent="0.35">
      <c r="A18" s="1" t="s">
        <v>156</v>
      </c>
    </row>
    <row r="19" spans="1:1" x14ac:dyDescent="0.35">
      <c r="A19" t="s">
        <v>329</v>
      </c>
    </row>
    <row r="21" spans="1:1" x14ac:dyDescent="0.35">
      <c r="A21" s="1" t="s">
        <v>330</v>
      </c>
    </row>
    <row r="23" spans="1:1" x14ac:dyDescent="0.35">
      <c r="A23" t="s">
        <v>331</v>
      </c>
    </row>
    <row r="24" spans="1:1" x14ac:dyDescent="0.35">
      <c r="A24" t="s">
        <v>332</v>
      </c>
    </row>
    <row r="25" spans="1:1" x14ac:dyDescent="0.35">
      <c r="A25" t="s">
        <v>333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1:A24"/>
  <sheetViews>
    <sheetView workbookViewId="0">
      <selection activeCell="A18" sqref="A18"/>
    </sheetView>
  </sheetViews>
  <sheetFormatPr defaultRowHeight="14.5" x14ac:dyDescent="0.35"/>
  <sheetData>
    <row r="1" spans="1:1" x14ac:dyDescent="0.35">
      <c r="A1" s="1" t="s">
        <v>334</v>
      </c>
    </row>
    <row r="2" spans="1:1" x14ac:dyDescent="0.35">
      <c r="A2" t="s">
        <v>335</v>
      </c>
    </row>
    <row r="3" spans="1:1" x14ac:dyDescent="0.35">
      <c r="A3" t="s">
        <v>336</v>
      </c>
    </row>
    <row r="4" spans="1:1" x14ac:dyDescent="0.35">
      <c r="A4" t="s">
        <v>337</v>
      </c>
    </row>
    <row r="5" spans="1:1" x14ac:dyDescent="0.35">
      <c r="A5" t="s">
        <v>338</v>
      </c>
    </row>
    <row r="6" spans="1:1" x14ac:dyDescent="0.35">
      <c r="A6" t="s">
        <v>339</v>
      </c>
    </row>
    <row r="8" spans="1:1" x14ac:dyDescent="0.35">
      <c r="A8" s="1" t="s">
        <v>340</v>
      </c>
    </row>
    <row r="9" spans="1:1" x14ac:dyDescent="0.35">
      <c r="A9" t="s">
        <v>341</v>
      </c>
    </row>
    <row r="10" spans="1:1" x14ac:dyDescent="0.35">
      <c r="A10" t="s">
        <v>342</v>
      </c>
    </row>
    <row r="11" spans="1:1" x14ac:dyDescent="0.35">
      <c r="A11" t="s">
        <v>343</v>
      </c>
    </row>
    <row r="12" spans="1:1" x14ac:dyDescent="0.35">
      <c r="A12" t="s">
        <v>344</v>
      </c>
    </row>
    <row r="13" spans="1:1" x14ac:dyDescent="0.35">
      <c r="A13" t="s">
        <v>345</v>
      </c>
    </row>
    <row r="14" spans="1:1" x14ac:dyDescent="0.35">
      <c r="A14" t="s">
        <v>346</v>
      </c>
    </row>
    <row r="15" spans="1:1" x14ac:dyDescent="0.35">
      <c r="A15" t="s">
        <v>347</v>
      </c>
    </row>
    <row r="16" spans="1:1" x14ac:dyDescent="0.35">
      <c r="A16" t="s">
        <v>348</v>
      </c>
    </row>
    <row r="17" spans="1:1" x14ac:dyDescent="0.35">
      <c r="A17" t="s">
        <v>349</v>
      </c>
    </row>
    <row r="18" spans="1:1" x14ac:dyDescent="0.35">
      <c r="A18" t="s">
        <v>350</v>
      </c>
    </row>
    <row r="19" spans="1:1" x14ac:dyDescent="0.35">
      <c r="A19" t="s">
        <v>351</v>
      </c>
    </row>
    <row r="21" spans="1:1" x14ac:dyDescent="0.35">
      <c r="A21" s="1" t="s">
        <v>352</v>
      </c>
    </row>
    <row r="22" spans="1:1" x14ac:dyDescent="0.35">
      <c r="A22" t="s">
        <v>353</v>
      </c>
    </row>
    <row r="23" spans="1:1" x14ac:dyDescent="0.35">
      <c r="A23" t="s">
        <v>354</v>
      </c>
    </row>
    <row r="24" spans="1:1" x14ac:dyDescent="0.35">
      <c r="A24" t="s">
        <v>355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356</v>
      </c>
    </row>
    <row r="2" spans="1:1" x14ac:dyDescent="0.35">
      <c r="A2" t="s">
        <v>357</v>
      </c>
    </row>
    <row r="3" spans="1:1" x14ac:dyDescent="0.35">
      <c r="A3" t="s">
        <v>358</v>
      </c>
    </row>
    <row r="4" spans="1:1" x14ac:dyDescent="0.35">
      <c r="A4" t="s">
        <v>359</v>
      </c>
    </row>
    <row r="5" spans="1:1" x14ac:dyDescent="0.35">
      <c r="A5" t="s">
        <v>360</v>
      </c>
    </row>
    <row r="6" spans="1:1" x14ac:dyDescent="0.35">
      <c r="A6" t="s">
        <v>361</v>
      </c>
    </row>
    <row r="7" spans="1:1" x14ac:dyDescent="0.35">
      <c r="A7" s="1" t="s">
        <v>362</v>
      </c>
    </row>
    <row r="8" spans="1:1" x14ac:dyDescent="0.35">
      <c r="A8" t="s">
        <v>363</v>
      </c>
    </row>
    <row r="9" spans="1:1" x14ac:dyDescent="0.35">
      <c r="A9" s="1" t="s">
        <v>145</v>
      </c>
    </row>
    <row r="10" spans="1:1" x14ac:dyDescent="0.35">
      <c r="A10" t="s">
        <v>364</v>
      </c>
    </row>
    <row r="11" spans="1:1" x14ac:dyDescent="0.35">
      <c r="A11" s="1" t="s">
        <v>365</v>
      </c>
    </row>
    <row r="12" spans="1:1" x14ac:dyDescent="0.35">
      <c r="A12" t="s">
        <v>366</v>
      </c>
    </row>
    <row r="13" spans="1:1" x14ac:dyDescent="0.35">
      <c r="A13" s="1" t="s">
        <v>367</v>
      </c>
    </row>
    <row r="14" spans="1:1" x14ac:dyDescent="0.35">
      <c r="A14" t="s">
        <v>368</v>
      </c>
    </row>
    <row r="15" spans="1:1" x14ac:dyDescent="0.35">
      <c r="A15" s="1" t="s">
        <v>282</v>
      </c>
    </row>
    <row r="16" spans="1:1" x14ac:dyDescent="0.35">
      <c r="A16" t="s">
        <v>369</v>
      </c>
    </row>
    <row r="17" spans="1:1" x14ac:dyDescent="0.35">
      <c r="A17" s="1" t="s">
        <v>156</v>
      </c>
    </row>
    <row r="18" spans="1:1" x14ac:dyDescent="0.35">
      <c r="A18" t="s">
        <v>370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Improvements</vt:lpstr>
      <vt:lpstr>Weekly One Pager</vt:lpstr>
      <vt:lpstr>Journal</vt:lpstr>
      <vt:lpstr>Ideas</vt:lpstr>
      <vt:lpstr>Trade Log</vt:lpstr>
      <vt:lpstr>Retro</vt:lpstr>
      <vt:lpstr>Retro BI</vt:lpstr>
      <vt:lpstr>Data Tags</vt:lpstr>
      <vt:lpstr>Dropdown List Tags</vt:lpstr>
      <vt:lpstr>TraderSync Export</vt:lpstr>
      <vt:lpstr>Strategies</vt:lpstr>
      <vt:lpstr>Definitions</vt:lpstr>
      <vt:lpstr>To Do</vt:lpstr>
      <vt:lpstr>Process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2024-06-04T20:27:11Z</dcterms:modified>
</cp:coreProperties>
</file>