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19880" yWindow="8610" windowWidth="7500" windowHeight="6000" tabRatio="600" firstSheet="0" activeTab="4" autoFilterDateGrouping="1"/>
  </bookViews>
  <sheets>
    <sheet xmlns:r="http://schemas.openxmlformats.org/officeDocument/2006/relationships" name="Improvements" sheetId="1" state="visible" r:id="rId1"/>
    <sheet xmlns:r="http://schemas.openxmlformats.org/officeDocument/2006/relationships" name="Weekly One Pager" sheetId="2" state="visible" r:id="rId2"/>
    <sheet xmlns:r="http://schemas.openxmlformats.org/officeDocument/2006/relationships" name="Journal" sheetId="3" state="visible" r:id="rId3"/>
    <sheet xmlns:r="http://schemas.openxmlformats.org/officeDocument/2006/relationships" name="Ideas" sheetId="4" state="visible" r:id="rId4"/>
    <sheet xmlns:r="http://schemas.openxmlformats.org/officeDocument/2006/relationships" name="Trade Log" sheetId="5" state="visible" r:id="rId5"/>
    <sheet xmlns:r="http://schemas.openxmlformats.org/officeDocument/2006/relationships" name="Retro" sheetId="6" state="visible" r:id="rId6"/>
    <sheet xmlns:r="http://schemas.openxmlformats.org/officeDocument/2006/relationships" name="Retro BI" sheetId="7" state="visible" r:id="rId7"/>
    <sheet xmlns:r="http://schemas.openxmlformats.org/officeDocument/2006/relationships" name="Data Tags" sheetId="8" state="visible" r:id="rId8"/>
    <sheet xmlns:r="http://schemas.openxmlformats.org/officeDocument/2006/relationships" name="TraderSync Export" sheetId="9" state="visible" r:id="rId9"/>
    <sheet xmlns:r="http://schemas.openxmlformats.org/officeDocument/2006/relationships" name="Setup_Data" sheetId="10" state="visible" r:id="rId10"/>
    <sheet xmlns:r="http://schemas.openxmlformats.org/officeDocument/2006/relationships" name="Definitions" sheetId="11" state="visible" r:id="rId11"/>
    <sheet xmlns:r="http://schemas.openxmlformats.org/officeDocument/2006/relationships" name="To Do" sheetId="12" state="visible" r:id="rId12"/>
    <sheet xmlns:r="http://schemas.openxmlformats.org/officeDocument/2006/relationships" name="Process" sheetId="13" state="visible" r:id="rId13"/>
    <sheet xmlns:r="http://schemas.openxmlformats.org/officeDocument/2006/relationships" name="Summary" sheetId="14" state="visible" r:id="rId14"/>
  </sheets>
  <definedNames/>
  <calcPr calcId="191029" fullCalcOnLoad="1"/>
</workbook>
</file>

<file path=xl/styles.xml><?xml version="1.0" encoding="utf-8"?>
<styleSheet xmlns="http://schemas.openxmlformats.org/spreadsheetml/2006/main">
  <numFmts count="5">
    <numFmt numFmtId="164" formatCode="&quot;$&quot;#,##0.00"/>
    <numFmt numFmtId="165" formatCode="yyyy\-mm\-dd"/>
    <numFmt numFmtId="166" formatCode="&quot;$&quot;#,##0.00_);\(&quot;$&quot;#,##0.00\)"/>
    <numFmt numFmtId="167" formatCode="yyyy\-mm\-dd\ h:mm:ss"/>
    <numFmt numFmtId="168" formatCode="yyyy-mm-dd h:mm:ss"/>
  </numFmts>
  <fonts count="16">
    <font>
      <name val="Calibri"/>
      <family val="2"/>
      <color theme="1"/>
      <sz val="11"/>
      <scheme val="minor"/>
    </font>
    <font>
      <name val="Calibri"/>
      <family val="2"/>
      <b val="1"/>
      <color theme="1"/>
      <sz val="11"/>
      <scheme val="minor"/>
    </font>
    <font>
      <name val="Calibri"/>
      <family val="2"/>
      <sz val="10"/>
      <scheme val="minor"/>
    </font>
    <font>
      <name val="Calibri"/>
      <family val="2"/>
      <i val="1"/>
      <sz val="10"/>
      <scheme val="minor"/>
    </font>
    <font>
      <name val="Calibri"/>
      <family val="2"/>
      <i val="1"/>
      <color theme="1"/>
      <sz val="10"/>
      <scheme val="minor"/>
    </font>
    <font>
      <name val="Calibri"/>
      <family val="2"/>
      <color theme="1" tint="0.249946592608417"/>
      <sz val="11"/>
      <scheme val="minor"/>
    </font>
    <font>
      <name val="Calibri"/>
      <family val="2"/>
      <color theme="10"/>
      <sz val="12"/>
      <u val="single"/>
      <scheme val="minor"/>
    </font>
    <font>
      <name val="Calibri"/>
      <family val="2"/>
      <sz val="12"/>
      <scheme val="minor"/>
    </font>
    <font>
      <name val="Calibri"/>
      <family val="2"/>
      <color theme="1"/>
      <sz val="11"/>
      <scheme val="minor"/>
    </font>
    <font>
      <name val="Calibri"/>
      <family val="2"/>
      <color rgb="FF00B050"/>
      <sz val="11"/>
      <scheme val="minor"/>
    </font>
    <font>
      <name val="Calibri"/>
      <family val="2"/>
      <color theme="1"/>
      <sz val="10"/>
      <scheme val="minor"/>
    </font>
    <font>
      <name val="Calibri"/>
      <family val="2"/>
      <i val="1"/>
      <color theme="1"/>
      <sz val="11"/>
      <scheme val="minor"/>
    </font>
    <font>
      <name val="Calibri"/>
      <family val="2"/>
      <i val="1"/>
      <color rgb="FF00B050"/>
      <sz val="10"/>
      <scheme val="minor"/>
    </font>
    <font>
      <name val="Calibri"/>
      <family val="2"/>
      <color rgb="FF00B050"/>
      <sz val="10"/>
      <scheme val="minor"/>
    </font>
    <font>
      <name val="Calibri"/>
      <family val="2"/>
      <color rgb="FF0070C0"/>
      <sz val="11"/>
      <scheme val="minor"/>
    </font>
    <font>
      <name val="Calibri"/>
      <family val="2"/>
      <sz val="11"/>
    </font>
  </fonts>
  <fills count="3">
    <fill>
      <patternFill/>
    </fill>
    <fill>
      <patternFill patternType="gray125"/>
    </fill>
    <fill>
      <patternFill patternType="solid">
        <fgColor rgb="FFFFC000"/>
        <bgColor indexed="64"/>
      </patternFill>
    </fill>
  </fills>
  <borders count="2">
    <border>
      <left/>
      <right/>
      <top/>
      <bottom/>
      <diagonal/>
    </border>
    <border>
      <left/>
      <right/>
      <top/>
      <bottom/>
      <diagonal/>
    </border>
  </borders>
  <cellStyleXfs count="6">
    <xf numFmtId="0" fontId="8" fillId="0" borderId="1"/>
    <xf numFmtId="0" fontId="5" fillId="0" borderId="1"/>
    <xf numFmtId="0" fontId="7" fillId="0" borderId="1"/>
    <xf numFmtId="0" fontId="6" fillId="0" borderId="1"/>
    <xf numFmtId="9" fontId="8" fillId="0" borderId="1"/>
    <xf numFmtId="164" fontId="15" fillId="0" borderId="1"/>
  </cellStyleXfs>
  <cellXfs count="42">
    <xf numFmtId="0" fontId="0" fillId="0" borderId="0" pivotButton="0" quotePrefix="0" xfId="0"/>
    <xf numFmtId="0" fontId="1" fillId="0" borderId="0" pivotButton="0" quotePrefix="0" xfId="0"/>
    <xf numFmtId="0" fontId="0" fillId="0" borderId="0" applyAlignment="1" pivotButton="0" quotePrefix="0" xfId="0">
      <alignment horizontal="left" vertical="center"/>
    </xf>
    <xf numFmtId="14" fontId="0" fillId="0" borderId="0" applyAlignment="1" pivotButton="0" quotePrefix="0" xfId="0">
      <alignment horizontal="left" vertical="center"/>
    </xf>
    <xf numFmtId="164" fontId="0"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14" fontId="4" fillId="0" borderId="0" applyAlignment="1" pivotButton="0" quotePrefix="0" xfId="0">
      <alignment horizontal="left" vertical="center"/>
    </xf>
    <xf numFmtId="164" fontId="4" fillId="0" borderId="0" applyAlignment="1" pivotButton="0" quotePrefix="0" xfId="0">
      <alignment horizontal="left" vertical="center"/>
    </xf>
    <xf numFmtId="4" fontId="4" fillId="0" borderId="0" applyAlignment="1" pivotButton="0" quotePrefix="0" xfId="0">
      <alignment horizontal="left" vertical="center"/>
    </xf>
    <xf numFmtId="0" fontId="4" fillId="0" borderId="0" applyAlignment="1" pivotButton="0" quotePrefix="0" xfId="0">
      <alignment horizontal="left" vertical="center"/>
    </xf>
    <xf numFmtId="14" fontId="0" fillId="0" borderId="0" pivotButton="0" quotePrefix="0" xfId="0"/>
    <xf numFmtId="9" fontId="0" fillId="0" borderId="0" pivotButton="0" quotePrefix="0" xfId="4"/>
    <xf numFmtId="9" fontId="9" fillId="0" borderId="0" pivotButton="0" quotePrefix="0" xfId="4"/>
    <xf numFmtId="0" fontId="9" fillId="0" borderId="0" pivotButton="0" quotePrefix="0" xfId="0"/>
    <xf numFmtId="0" fontId="10" fillId="0" borderId="0" pivotButton="0" quotePrefix="0" xfId="0"/>
    <xf numFmtId="0" fontId="11" fillId="0" borderId="0" pivotButton="0" quotePrefix="0" xfId="0"/>
    <xf numFmtId="164" fontId="9" fillId="0" borderId="0" applyAlignment="1" pivotButton="0" quotePrefix="0" xfId="0">
      <alignment horizontal="left" vertical="center"/>
    </xf>
    <xf numFmtId="164" fontId="12" fillId="0" borderId="0" applyAlignment="1" pivotButton="0" quotePrefix="0" xfId="0">
      <alignment horizontal="left" vertical="center"/>
    </xf>
    <xf numFmtId="0" fontId="9" fillId="0" borderId="0" applyAlignment="1" pivotButton="0" quotePrefix="0" xfId="0">
      <alignment horizontal="left" vertical="center"/>
    </xf>
    <xf numFmtId="0" fontId="13" fillId="0" borderId="0" applyAlignment="1" pivotButton="0" quotePrefix="0" xfId="0">
      <alignment horizontal="left" vertical="center"/>
    </xf>
    <xf numFmtId="0" fontId="12" fillId="0" borderId="0" applyAlignment="1" pivotButton="0" quotePrefix="0" xfId="0">
      <alignment horizontal="left" vertical="center"/>
    </xf>
    <xf numFmtId="14" fontId="9" fillId="0" borderId="0" applyAlignment="1" pivotButton="0" quotePrefix="0" xfId="0">
      <alignment horizontal="left" vertical="center"/>
    </xf>
    <xf numFmtId="14" fontId="12" fillId="0" borderId="0" applyAlignment="1" pivotButton="0" quotePrefix="0" xfId="0">
      <alignment horizontal="left" vertical="center"/>
    </xf>
    <xf numFmtId="0" fontId="14" fillId="0" borderId="0" pivotButton="0" quotePrefix="0" xfId="0"/>
    <xf numFmtId="164" fontId="9" fillId="0" borderId="0" pivotButton="0" quotePrefix="0" xfId="0"/>
    <xf numFmtId="0" fontId="14" fillId="0" borderId="0" applyAlignment="1" pivotButton="0" quotePrefix="0" xfId="0">
      <alignment horizontal="left" vertical="center"/>
    </xf>
    <xf numFmtId="14" fontId="14" fillId="0" borderId="0" applyAlignment="1" pivotButton="0" quotePrefix="0" xfId="0">
      <alignment horizontal="left" vertical="center"/>
    </xf>
    <xf numFmtId="164" fontId="14" fillId="0" borderId="0" applyAlignment="1" pivotButton="0" quotePrefix="0" xfId="0">
      <alignment horizontal="left" vertical="center"/>
    </xf>
    <xf numFmtId="4" fontId="0" fillId="0" borderId="0" applyAlignment="1" pivotButton="0" quotePrefix="0" xfId="0">
      <alignment horizontal="left" vertical="center"/>
    </xf>
    <xf numFmtId="14" fontId="14" fillId="0" borderId="0" pivotButton="0" quotePrefix="0" xfId="0"/>
    <xf numFmtId="0" fontId="0" fillId="2" borderId="0" pivotButton="0" quotePrefix="0" xfId="0"/>
    <xf numFmtId="0" fontId="0" fillId="0" borderId="0" applyAlignment="1" pivotButton="0" quotePrefix="0" xfId="0">
      <alignment wrapText="1"/>
    </xf>
    <xf numFmtId="14" fontId="9"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0" fontId="0" fillId="0" borderId="0" pivotButton="0" quotePrefix="0" xfId="0"/>
    <xf numFmtId="167" fontId="0" fillId="0" borderId="0" pivotButton="0" quotePrefix="0" xfId="0"/>
    <xf numFmtId="166" fontId="0" fillId="0" borderId="0" pivotButton="0" quotePrefix="0" xfId="0"/>
    <xf numFmtId="7" fontId="0" fillId="0" borderId="0" pivotButton="0" quotePrefix="0" xfId="0"/>
    <xf numFmtId="168" fontId="0" fillId="0" borderId="0" pivotButton="0" quotePrefix="0" xfId="0"/>
  </cellXfs>
  <cellStyles count="6">
    <cellStyle name="Normal" xfId="0" builtinId="0"/>
    <cellStyle name="Normal 3" xfId="1"/>
    <cellStyle name="Normal 2" xfId="2"/>
    <cellStyle name="Hyperlink 2" xfId="3"/>
    <cellStyle name="Percent" xfId="4" builtinId="5"/>
    <cellStyle name="currency" xfId="5"/>
  </cellStyles>
  <dxfs count="45">
    <dxf>
      <font>
        <name val="Calibri"/>
        <family val="2"/>
        <strike val="0"/>
        <outline val="0"/>
        <shadow val="0"/>
        <sz val="10"/>
        <vertAlign val="baseline"/>
        <scheme val="minor"/>
      </font>
    </dxf>
    <dxf>
      <font>
        <name val="Calibri"/>
        <family val="2"/>
        <strike val="0"/>
        <outline val="0"/>
        <shadow val="0"/>
        <sz val="10"/>
        <vertAlign val="baseline"/>
        <scheme val="minor"/>
      </font>
    </dxf>
    <dxf>
      <alignment horizontal="left" vertical="center"/>
    </dxf>
    <dxf>
      <alignment horizontal="left" vertical="center"/>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color rgb="FF00B050"/>
        <sz val="10"/>
        <vertAlign val="baseline"/>
        <scheme val="minor"/>
      </font>
      <numFmt numFmtId="164" formatCode="&quot;$&quot;#,##0.00"/>
    </dxf>
    <dxf>
      <font>
        <name val="Calibri"/>
        <family val="2"/>
        <strike val="0"/>
        <outline val="0"/>
        <shadow val="0"/>
        <color rgb="FF00B050"/>
        <sz val="10"/>
        <vertAlign val="baseline"/>
        <scheme val="minor"/>
      </font>
    </dxf>
    <dxf>
      <font>
        <name val="Calibri"/>
        <family val="2"/>
        <strike val="0"/>
        <outline val="0"/>
        <shadow val="0"/>
        <color rgb="FF00B050"/>
        <sz val="10"/>
        <vertAlign val="baseline"/>
        <scheme val="minor"/>
      </font>
    </dxf>
    <dxf>
      <font>
        <name val="Calibri"/>
        <family val="2"/>
        <strike val="0"/>
        <outline val="0"/>
        <shadow val="0"/>
        <color rgb="FF00B050"/>
        <sz val="10"/>
        <vertAlign val="baseline"/>
        <scheme val="minor"/>
      </font>
      <numFmt numFmtId="164" formatCode="&quot;$&quot;#,##0.00"/>
    </dxf>
    <dxf>
      <font>
        <name val="Calibri"/>
        <family val="2"/>
        <strike val="0"/>
        <outline val="0"/>
        <shadow val="0"/>
        <color rgb="FF00B050"/>
        <sz val="10"/>
        <vertAlign val="baseline"/>
        <scheme val="minor"/>
      </font>
      <numFmt numFmtId="164" formatCode="&quot;$&quot;#,##0.00"/>
    </dxf>
    <dxf>
      <font>
        <name val="Calibri"/>
        <family val="2"/>
        <strike val="0"/>
        <outline val="0"/>
        <shadow val="0"/>
        <color rgb="FF00B050"/>
        <sz val="10"/>
        <vertAlign val="baseline"/>
        <scheme val="minor"/>
      </font>
      <numFmt numFmtId="164" formatCode="&quot;$&quot;#,##0.00"/>
    </dxf>
    <dxf>
      <font>
        <name val="Calibri"/>
        <family val="2"/>
        <strike val="0"/>
        <outline val="0"/>
        <shadow val="0"/>
        <color rgb="FF00B050"/>
        <sz val="10"/>
        <vertAlign val="baseline"/>
        <scheme val="minor"/>
      </font>
      <numFmt numFmtId="164" formatCode="&quot;$&quot;#,##0.00"/>
    </dxf>
    <dxf>
      <font>
        <name val="Calibri"/>
        <family val="2"/>
        <strike val="0"/>
        <outline val="0"/>
        <shadow val="0"/>
        <color rgb="FF00B050"/>
        <sz val="10"/>
        <vertAlign val="baseline"/>
        <scheme val="minor"/>
      </font>
      <numFmt numFmtId="19" formatCode="m/d/yyyy"/>
    </dxf>
    <dxf>
      <font>
        <name val="Calibri"/>
        <family val="2"/>
        <strike val="0"/>
        <outline val="0"/>
        <shadow val="0"/>
        <condense val="0"/>
        <color rgb="FF00B050"/>
        <extend val="0"/>
        <sz val="10"/>
        <vertAlign val="baseline"/>
        <scheme val="minor"/>
      </font>
      <alignment horizontal="left" vertical="center"/>
    </dxf>
    <dxf>
      <font>
        <name val="Calibri"/>
        <family val="2"/>
        <strike val="0"/>
        <outline val="0"/>
        <shadow val="0"/>
        <condense val="0"/>
        <color rgb="FF00B050"/>
        <extend val="0"/>
        <sz val="10"/>
        <vertAlign val="baseline"/>
        <scheme val="minor"/>
      </font>
      <alignment horizontal="left" vertical="center"/>
    </dxf>
    <dxf>
      <font>
        <name val="Calibri"/>
        <family val="2"/>
        <strike val="0"/>
        <outline val="0"/>
        <shadow val="0"/>
        <sz val="10"/>
        <vertAlign val="baseline"/>
        <scheme val="minor"/>
      </font>
    </dxf>
    <dxf>
      <numFmt numFmtId="164" formatCode="&quot;$&quot;#,##0.00"/>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color theme="1"/>
        <sz val="10"/>
        <vertAlign val="baseline"/>
        <scheme val="minor"/>
      </font>
      <numFmt numFmtId="164" formatCode="&quot;$&quot;#,##0.00"/>
    </dxf>
    <dxf>
      <font>
        <name val="Calibri"/>
        <family val="2"/>
        <strike val="0"/>
        <outline val="0"/>
        <shadow val="0"/>
        <color theme="1"/>
        <sz val="10"/>
        <vertAlign val="baseline"/>
        <scheme val="minor"/>
      </font>
      <numFmt numFmtId="164" formatCode="&quot;$&quot;#,##0.00"/>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color theme="1"/>
        <sz val="10"/>
        <vertAlign val="baseline"/>
        <scheme val="minor"/>
      </font>
      <numFmt numFmtId="4" formatCode="#,##0.00"/>
    </dxf>
    <dxf>
      <font>
        <name val="Calibri"/>
        <family val="2"/>
        <strike val="0"/>
        <outline val="0"/>
        <shadow val="0"/>
        <sz val="10"/>
        <vertAlign val="baseline"/>
        <scheme val="minor"/>
      </font>
      <numFmt numFmtId="164" formatCode="&quot;$&quot;#,##0.00"/>
    </dxf>
    <dxf>
      <font>
        <name val="Calibri"/>
        <family val="2"/>
        <strike val="0"/>
        <outline val="0"/>
        <shadow val="0"/>
        <sz val="10"/>
        <vertAlign val="baseline"/>
        <scheme val="minor"/>
      </font>
      <numFmt numFmtId="164" formatCode="&quot;$&quot;#,##0.00"/>
    </dxf>
    <dxf>
      <font>
        <name val="Calibri"/>
        <family val="2"/>
        <strike val="0"/>
        <outline val="0"/>
        <shadow val="0"/>
        <sz val="10"/>
        <vertAlign val="baseline"/>
        <scheme val="minor"/>
      </font>
      <numFmt numFmtId="164" formatCode="&quot;$&quot;#,##0.00"/>
    </dxf>
    <dxf>
      <font>
        <name val="Calibri"/>
        <family val="2"/>
        <strike val="0"/>
        <outline val="0"/>
        <shadow val="0"/>
        <sz val="10"/>
        <vertAlign val="baseline"/>
        <scheme val="minor"/>
      </font>
      <numFmt numFmtId="164" formatCode="&quot;$&quot;#,##0.00"/>
    </dxf>
    <dxf>
      <font>
        <name val="Calibri"/>
        <family val="2"/>
        <strike val="0"/>
        <outline val="0"/>
        <shadow val="0"/>
        <sz val="10"/>
        <vertAlign val="baseline"/>
        <scheme val="minor"/>
      </font>
      <numFmt numFmtId="19" formatCode="m/d/yyyy"/>
    </dxf>
    <dxf>
      <font>
        <name val="Calibri"/>
        <family val="2"/>
        <strike val="0"/>
        <outline val="0"/>
        <shadow val="0"/>
        <condense val="0"/>
        <color auto="1"/>
        <extend val="0"/>
        <sz val="10"/>
        <vertAlign val="baseline"/>
        <scheme val="minor"/>
      </font>
    </dxf>
    <dxf>
      <font>
        <name val="Calibri"/>
        <family val="2"/>
        <strike val="0"/>
        <outline val="0"/>
        <shadow val="0"/>
        <sz val="10"/>
        <vertAlign val="baseline"/>
        <scheme val="minor"/>
      </font>
    </dxf>
    <dxf>
      <numFmt numFmtId="164" formatCode="&quot;$&quot;#,##0.00"/>
    </dxf>
    <dxf>
      <font>
        <b val="1"/>
        <i val="1"/>
        <color theme="3"/>
      </font>
      <fill>
        <patternFill>
          <bgColor theme="4" tint="0.7999816888943144"/>
        </patternFill>
      </fill>
      <border>
        <left/>
        <right/>
        <top/>
        <bottom/>
        <vertical/>
        <horizontal/>
      </border>
    </dxf>
    <dxf>
      <font>
        <b val="1"/>
        <i val="1"/>
        <color theme="3"/>
      </font>
      <fill>
        <patternFill patternType="solid">
          <fgColor auto="1"/>
          <bgColor theme="0" tint="-0.0499893185216834"/>
        </patternFill>
      </fill>
    </dxf>
    <dxf>
      <font>
        <b val="1"/>
        <i val="1"/>
        <color theme="3"/>
      </font>
      <fill>
        <patternFill>
          <bgColor theme="4" tint="0.7999816888943144"/>
        </patternFill>
      </fill>
      <border>
        <left/>
        <right/>
        <top/>
        <bottom style="thin">
          <color theme="4"/>
        </bottom>
        <vertical/>
        <horizontal/>
      </border>
    </dxf>
    <dxf>
      <font>
        <b val="1"/>
        <i val="1"/>
        <color theme="3"/>
      </font>
      <fill>
        <patternFill>
          <fgColor auto="1"/>
          <bgColor auto="1"/>
        </patternFill>
      </fill>
      <border>
        <left/>
        <right/>
        <top/>
        <bottom/>
        <vertical/>
        <horizontal/>
      </border>
    </dxf>
    <dxf>
      <font>
        <b val="1"/>
        <i val="1"/>
        <color theme="3"/>
      </font>
      <fill>
        <patternFill patternType="solid">
          <fgColor theme="8" tint="0.7998901333658864"/>
          <bgColor theme="0" tint="-0.0499893185216834"/>
        </patternFill>
      </fill>
      <border>
        <left/>
        <right/>
        <top/>
        <bottom style="thin">
          <color theme="4"/>
        </bottom>
        <vertical/>
        <horizontal/>
      </border>
    </dxf>
  </dxfs>
  <tableStyles count="1" defaultTableStyle="TableStyleMedium2" defaultPivotStyle="PivotStyleLight16">
    <tableStyle name="CustomerProfitabilityAnalysis_table2" pivot="0" count="5">
      <tableStyleElement type="wholeTable" dxfId="44"/>
      <tableStyleElement type="headerRow" dxfId="43"/>
      <tableStyleElement type="firstColumn" dxfId="42"/>
      <tableStyleElement type="lastColumn" dxfId="41"/>
      <tableStyleElement type="firstRowStripe" dxfId="4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Table2" displayName="Table2" ref="A1:U57" headerRowCount="1" totalsRowShown="0" headerRowDxfId="39" dataDxfId="38">
  <autoFilter ref="A1:U57"/>
  <tableColumns count="21">
    <tableColumn id="1" name="Ticker" dataDxfId="37"/>
    <tableColumn id="2" name="Date" dataDxfId="36"/>
    <tableColumn id="3" name="Current Price" dataDxfId="35"/>
    <tableColumn id="4" name="Target Entry" dataDxfId="34"/>
    <tableColumn id="5" name="Target Price" dataDxfId="33"/>
    <tableColumn id="6" name="Stop" dataDxfId="32"/>
    <tableColumn id="7" name="RR Ratio" dataDxfId="31">
      <calculatedColumnFormula>(Table2[[#This Row],[Target Price]]-Table2[[#This Row],[Target Entry]])/(Table2[[#This Row],[Target Entry]]-Table2[[#This Row],[Stop]])</calculatedColumnFormula>
    </tableColumn>
    <tableColumn id="8" name="Trade Direction" dataDxfId="30"/>
    <tableColumn id="10" name="Strategy" dataDxfId="29"/>
    <tableColumn id="20" name="Market"/>
    <tableColumn id="19" name="Relative"/>
    <tableColumn id="11" name="1hr Trend" dataDxfId="28"/>
    <tableColumn id="14" name="1hr Cloud" dataDxfId="27"/>
    <tableColumn id="15" name="Intended Position" dataDxfId="26"/>
    <tableColumn id="18" name="To win Money" dataDxfId="25">
      <calculatedColumnFormula>IF(Table2[[#This Row],[Trade Direction]]="Short",Table2[[#This Row],[Target Entry]]-Table2[[#This Row],[Target Price]],Table2[[#This Row],[Target Price]]-Table2[[#This Row],[Target Entry]])*Table2[[#This Row],[Intended Position]]</calculatedColumnFormula>
    </tableColumn>
    <tableColumn id="16" name="Money Risk" dataDxfId="24">
      <calculatedColumnFormula>IF(Table2[[#This Row],[Trade Direction]]="Short",Table2[[#This Row],[Target Entry]]-Table2[[#This Row],[Stop]],Table2[[#This Row],[Stop]]-Table2[[#This Row],[Target Entry]])*Table2[[#This Row],[Intended Position]]</calculatedColumnFormula>
    </tableColumn>
    <tableColumn id="9" name="Notes" dataDxfId="23"/>
    <tableColumn id="17" name="Sourced" dataDxfId="22"/>
    <tableColumn id="12" name="Quality" dataDxfId="21"/>
    <tableColumn id="13" name="Filter" dataDxfId="20"/>
    <tableColumn id="23" name="Trade ID" dataDxfId="19"/>
  </tableColumns>
  <tableStyleInfo name="CustomerProfitabilityAnalysis_table2" showFirstColumn="0" showLastColumn="0" showRowStripes="1" showColumnStripes="0"/>
</table>
</file>

<file path=xl/tables/table2.xml><?xml version="1.0" encoding="utf-8"?>
<table xmlns="http://schemas.openxmlformats.org/spreadsheetml/2006/main" id="2" name="Table23" displayName="Table23" ref="A1:Q57" headerRowCount="1" totalsRowShown="0" headerRowDxfId="18" dataDxfId="17">
  <autoFilter ref="A1:Q57"/>
  <tableColumns count="17">
    <tableColumn id="14" name="Trade ID" dataDxfId="16"/>
    <tableColumn id="1" name="Ticker" dataDxfId="15"/>
    <tableColumn id="2" name="Close Date" dataDxfId="14"/>
    <tableColumn id="3" name="Entry Price" dataDxfId="13"/>
    <tableColumn id="4" name="Exit Price" dataDxfId="12"/>
    <tableColumn id="5" name="Avg Buy" dataDxfId="11"/>
    <tableColumn id="6" name="Avg Sell" dataDxfId="10"/>
    <tableColumn id="8" name="Net Return" dataDxfId="9"/>
    <tableColumn id="10" name="Strategy" dataDxfId="8"/>
    <tableColumn id="18" name="Status" dataDxfId="7"/>
    <tableColumn id="9" name="Exit Feeling" dataDxfId="6"/>
    <tableColumn id="17" name="Sourced" dataDxfId="5"/>
    <tableColumn id="12" name="Quality" dataDxfId="4"/>
    <tableColumn id="15" name="Retro Due Date" dataDxfId="3"/>
    <tableColumn id="11" name="KPI #1" dataDxfId="2"/>
    <tableColumn id="13" name="KPI #2" dataDxfId="1"/>
    <tableColumn id="19" name="KPI #3" dataDxfId="0"/>
  </tableColumns>
  <tableStyleInfo name="CustomerProfitabilityAnalysis_table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FFFF0000"/>
    <outlinePr summaryBelow="1" summaryRight="1"/>
    <pageSetUpPr/>
  </sheetPr>
  <dimension ref="A1:B1"/>
  <sheetViews>
    <sheetView workbookViewId="0">
      <selection activeCell="L20" sqref="L20"/>
    </sheetView>
  </sheetViews>
  <sheetFormatPr baseColWidth="8" defaultRowHeight="14.5"/>
  <sheetData>
    <row r="1">
      <c r="A1" t="inlineStr">
        <is>
          <t>Sheet</t>
        </is>
      </c>
      <c r="B1" t="inlineStr">
        <is>
          <t>Commentary</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B2" sqref="B2"/>
    </sheetView>
  </sheetViews>
  <sheetFormatPr baseColWidth="8" defaultRowHeight="14.5"/>
  <cols>
    <col width="19.26953125" customWidth="1" style="11" min="1" max="1"/>
  </cols>
  <sheetData>
    <row r="1">
      <c r="A1" s="33" t="inlineStr">
        <is>
          <t>Date</t>
        </is>
      </c>
      <c r="B1" s="14" t="inlineStr">
        <is>
          <t>Ticker</t>
        </is>
      </c>
      <c r="C1" s="14" t="inlineStr">
        <is>
          <t>Comments</t>
        </is>
      </c>
      <c r="D1" s="14" t="inlineStr">
        <is>
          <t>Key Support Level</t>
        </is>
      </c>
      <c r="E1" s="14" t="inlineStr">
        <is>
          <t>Key Resistance Level</t>
        </is>
      </c>
      <c r="F1" t="inlineStr">
        <is>
          <t>Game Plan</t>
        </is>
      </c>
    </row>
    <row r="2">
      <c r="A2" s="34" t="n">
        <v>45427</v>
      </c>
      <c r="B2" t="inlineStr">
        <is>
          <t>XPO</t>
        </is>
      </c>
      <c r="C2" t="inlineStr">
        <is>
          <t>This is a test</t>
        </is>
      </c>
      <c r="D2" t="n">
        <v>90</v>
      </c>
      <c r="E2" t="n">
        <v>150</v>
      </c>
      <c r="F2" t="inlineStr">
        <is>
          <t>Incoming to a lot of MAs traffic that can rebound, and a bit of low wick.
We might have a small bounce.</t>
        </is>
      </c>
    </row>
    <row r="3">
      <c r="A3" s="34" t="n">
        <v>45426</v>
      </c>
      <c r="B3" t="inlineStr">
        <is>
          <t>SPY</t>
        </is>
      </c>
      <c r="C3" t="inlineStr">
        <is>
          <t>This is a test</t>
        </is>
      </c>
      <c r="D3" t="n">
        <v>90</v>
      </c>
      <c r="E3" t="n">
        <v>150</v>
      </c>
      <c r="F3" t="inlineStr">
        <is>
          <t>Incoming to a lot of MAs traffic that can rebound, and a bit of low wick.
We might have a small bounce.</t>
        </is>
      </c>
    </row>
    <row r="4">
      <c r="A4" s="34" t="n">
        <v>45426</v>
      </c>
      <c r="B4" t="inlineStr">
        <is>
          <t>GME</t>
        </is>
      </c>
      <c r="C4" t="inlineStr">
        <is>
          <t>This is a test</t>
        </is>
      </c>
      <c r="D4" t="n">
        <v>90</v>
      </c>
      <c r="E4" t="n">
        <v>150</v>
      </c>
      <c r="F4" t="inlineStr">
        <is>
          <t>Incoming to a lot of MAs traffic that can rebound, and a bit of low wick.
We might have a small bounce.</t>
        </is>
      </c>
    </row>
    <row r="5">
      <c r="A5" s="34" t="n">
        <v>45426</v>
      </c>
      <c r="B5" t="inlineStr">
        <is>
          <t>ASTS</t>
        </is>
      </c>
      <c r="C5" t="inlineStr">
        <is>
          <t>This is a test</t>
        </is>
      </c>
      <c r="D5" t="n">
        <v>90</v>
      </c>
      <c r="E5" t="n">
        <v>150</v>
      </c>
      <c r="F5" t="inlineStr">
        <is>
          <t>Incoming to a lot of MAs traffic that can rebound, and a bit of low wick.
We might have a small bounce.</t>
        </is>
      </c>
    </row>
    <row r="6">
      <c r="A6" s="34" t="n">
        <v>45426</v>
      </c>
      <c r="B6" t="inlineStr">
        <is>
          <t>AMC</t>
        </is>
      </c>
      <c r="C6" t="inlineStr">
        <is>
          <t>This is a test</t>
        </is>
      </c>
      <c r="D6" t="n">
        <v>90</v>
      </c>
      <c r="E6" t="n">
        <v>150</v>
      </c>
      <c r="F6" t="inlineStr">
        <is>
          <t>Incoming to a lot of MAs traffic that can rebound, and a bit of low wick.
We might have a small bounce.</t>
        </is>
      </c>
    </row>
    <row r="7">
      <c r="A7" s="34" t="n">
        <v>45425</v>
      </c>
      <c r="B7" t="inlineStr">
        <is>
          <t>CONGLO</t>
        </is>
      </c>
      <c r="C7" t="inlineStr">
        <is>
          <t>This is a test</t>
        </is>
      </c>
      <c r="D7" t="n">
        <v>5.5</v>
      </c>
      <c r="E7" t="n">
        <v>3020.8</v>
      </c>
      <c r="F7" t="inlineStr">
        <is>
          <t>Lore ipsum</t>
        </is>
      </c>
    </row>
    <row r="8">
      <c r="A8" s="34" t="n">
        <v>45425</v>
      </c>
      <c r="B8" t="inlineStr">
        <is>
          <t>QQQ</t>
        </is>
      </c>
      <c r="C8" t="inlineStr">
        <is>
          <t>This is a test</t>
        </is>
      </c>
      <c r="D8" t="n">
        <v>5.5</v>
      </c>
      <c r="E8" t="n">
        <v>3020.8</v>
      </c>
      <c r="F8" t="inlineStr">
        <is>
          <t>Lore ipsumsss</t>
        </is>
      </c>
    </row>
    <row r="9">
      <c r="A9" s="34" t="n">
        <v>45425</v>
      </c>
      <c r="B9" t="inlineStr">
        <is>
          <t>IWM</t>
        </is>
      </c>
      <c r="C9" t="inlineStr">
        <is>
          <t>This is a test</t>
        </is>
      </c>
      <c r="D9" t="n">
        <v>5.5</v>
      </c>
      <c r="E9" t="n">
        <v>3020.8</v>
      </c>
      <c r="F9" t="inlineStr">
        <is>
          <t>Lore ipsum xxx$$%</t>
        </is>
      </c>
    </row>
    <row r="10">
      <c r="A10" s="34" t="n">
        <v>45425</v>
      </c>
      <c r="B10" t="inlineStr">
        <is>
          <t>CELH</t>
        </is>
      </c>
      <c r="C10" t="inlineStr">
        <is>
          <t>This is a test</t>
        </is>
      </c>
      <c r="D10" t="n">
        <v>5.5</v>
      </c>
      <c r="E10" t="n">
        <v>3020.8</v>
      </c>
      <c r="F10" t="inlineStr">
        <is>
          <t>Lore ipsumsafsfds</t>
        </is>
      </c>
    </row>
    <row r="11">
      <c r="A11" s="34" t="n">
        <v>45425</v>
      </c>
      <c r="B11" t="inlineStr">
        <is>
          <t>DKNG</t>
        </is>
      </c>
      <c r="C11" t="inlineStr">
        <is>
          <t>This is a test</t>
        </is>
      </c>
      <c r="D11" t="n">
        <v>5.5</v>
      </c>
      <c r="E11" t="n">
        <v>3020.8</v>
      </c>
      <c r="F11" t="inlineStr">
        <is>
          <t>Lore ipsum ''"''</t>
        </is>
      </c>
    </row>
    <row r="12">
      <c r="A12" s="34" t="n">
        <v>45425</v>
      </c>
      <c r="B12" t="inlineStr">
        <is>
          <t>AMZN</t>
        </is>
      </c>
      <c r="C12" t="inlineStr">
        <is>
          <t>This is a test</t>
        </is>
      </c>
      <c r="D12" t="n">
        <v>85</v>
      </c>
      <c r="E12" t="n">
        <v>120.5</v>
      </c>
      <c r="F12" t="inlineStr">
        <is>
          <t>Lore ipsum ,,"</t>
        </is>
      </c>
    </row>
    <row r="13">
      <c r="A13" s="34" t="n">
        <v>45425</v>
      </c>
      <c r="B13" t="inlineStr">
        <is>
          <t>AMZN</t>
        </is>
      </c>
      <c r="C13" t="inlineStr">
        <is>
          <t>This is a test</t>
        </is>
      </c>
      <c r="D13" t="n">
        <v>85</v>
      </c>
      <c r="E13" t="n">
        <v>120.5</v>
      </c>
      <c r="F13" t="inlineStr">
        <is>
          <t>Lore ipsum ,,"</t>
        </is>
      </c>
    </row>
    <row r="14">
      <c r="A14" s="34" t="n">
        <v>45425</v>
      </c>
      <c r="B14" t="inlineStr">
        <is>
          <t>AAPL</t>
        </is>
      </c>
      <c r="C14" t="inlineStr">
        <is>
          <t>This is a test</t>
        </is>
      </c>
      <c r="D14" t="n">
        <v>5.5</v>
      </c>
      <c r="E14" t="n">
        <v>3020.8</v>
      </c>
      <c r="F14" t="inlineStr">
        <is>
          <t>Lore ipsum</t>
        </is>
      </c>
    </row>
    <row r="15">
      <c r="A15" s="34" t="n">
        <v>45425</v>
      </c>
    </row>
    <row r="16">
      <c r="A16" s="34" t="n">
        <v>45425</v>
      </c>
    </row>
  </sheetData>
  <pageMargins left="0.75" right="0.75" top="1" bottom="1" header="0.5" footer="0.5"/>
</worksheet>
</file>

<file path=xl/worksheets/sheet3.xml><?xml version="1.0" encoding="utf-8"?>
<worksheet xmlns="http://schemas.openxmlformats.org/spreadsheetml/2006/main">
  <sheetPr codeName="Sheet2">
    <outlinePr summaryBelow="1" summaryRight="1"/>
    <pageSetUpPr autoPageBreaks="0"/>
  </sheetPr>
  <dimension ref="A1:M16"/>
  <sheetViews>
    <sheetView zoomScaleNormal="100" workbookViewId="0">
      <selection activeCell="D20" sqref="D20"/>
    </sheetView>
  </sheetViews>
  <sheetFormatPr baseColWidth="8" defaultRowHeight="14.5" customHeight="1"/>
  <cols>
    <col width="10.7265625" customWidth="1" style="11" min="1" max="1"/>
    <col width="13.08984375" customWidth="1" min="5" max="5"/>
    <col width="15.453125" customWidth="1" min="6" max="6"/>
    <col width="17.1796875" customWidth="1" min="7" max="7"/>
    <col width="17" customWidth="1" min="8" max="8"/>
    <col width="13.08984375" customWidth="1" min="9" max="9"/>
    <col width="12.6328125" customWidth="1" min="10" max="10"/>
    <col width="11" customWidth="1" min="11" max="11"/>
  </cols>
  <sheetData>
    <row r="1" ht="14.5" customHeight="1">
      <c r="A1" s="30" t="inlineStr">
        <is>
          <t>Date</t>
        </is>
      </c>
      <c r="B1" s="24" t="inlineStr">
        <is>
          <t>Ticker</t>
        </is>
      </c>
      <c r="C1" s="24" t="inlineStr">
        <is>
          <t>Current Price</t>
        </is>
      </c>
      <c r="D1" s="24" t="inlineStr">
        <is>
          <t>Direction</t>
        </is>
      </c>
      <c r="E1" s="24" t="inlineStr">
        <is>
          <t>Sentiment</t>
        </is>
      </c>
      <c r="F1" s="24" t="inlineStr">
        <is>
          <t>Sentiment Type</t>
        </is>
      </c>
      <c r="G1" s="24" t="inlineStr">
        <is>
          <t>Governing Pattern</t>
        </is>
      </c>
      <c r="H1" s="24" t="inlineStr">
        <is>
          <t>Key Support Level</t>
        </is>
      </c>
      <c r="I1" s="24" t="inlineStr">
        <is>
          <t>Key Resistance Level</t>
        </is>
      </c>
      <c r="J1" s="24" t="inlineStr">
        <is>
          <t>Comments</t>
        </is>
      </c>
      <c r="K1" s="24" t="inlineStr">
        <is>
          <t>30D Retro</t>
        </is>
      </c>
      <c r="L1" s="24" t="inlineStr">
        <is>
          <t>Weekly One Pager</t>
        </is>
      </c>
      <c r="M1" s="24" t="inlineStr">
        <is>
          <t>Followup</t>
        </is>
      </c>
    </row>
    <row r="2" ht="14.5" customHeight="1">
      <c r="A2" s="11" t="n">
        <v>45426</v>
      </c>
      <c r="B2" t="inlineStr">
        <is>
          <t>SPY</t>
        </is>
      </c>
      <c r="C2" t="n">
        <v>100</v>
      </c>
      <c r="D2" t="inlineStr">
        <is>
          <t>Bullish</t>
        </is>
      </c>
      <c r="E2" t="inlineStr">
        <is>
          <t>Bullish</t>
        </is>
      </c>
      <c r="F2" t="inlineStr">
        <is>
          <t>Fundamental</t>
        </is>
      </c>
      <c r="G2" t="inlineStr">
        <is>
          <t>Inverted Cup</t>
        </is>
      </c>
      <c r="H2" t="n">
        <v>90</v>
      </c>
      <c r="I2" t="n">
        <v>150</v>
      </c>
      <c r="J2" t="inlineStr">
        <is>
          <t>This is a test</t>
        </is>
      </c>
      <c r="L2" s="32" t="inlineStr">
        <is>
          <t>Incoming to a lot of MAs traffic that can rebound, and a bit of low wick.
We might have a small bounce.</t>
        </is>
      </c>
    </row>
    <row r="3" ht="14.5" customHeight="1">
      <c r="A3" s="11" t="n">
        <v>45425</v>
      </c>
      <c r="B3" t="inlineStr">
        <is>
          <t>CONGLO</t>
        </is>
      </c>
      <c r="C3" t="n">
        <v>110</v>
      </c>
      <c r="D3" t="inlineStr">
        <is>
          <t>Bearish</t>
        </is>
      </c>
      <c r="E3" t="inlineStr">
        <is>
          <t>Bullish</t>
        </is>
      </c>
      <c r="F3" t="inlineStr">
        <is>
          <t>Fundamental</t>
        </is>
      </c>
      <c r="G3" t="inlineStr">
        <is>
          <t>Inverted Cup</t>
        </is>
      </c>
      <c r="H3" t="n">
        <v>5.5</v>
      </c>
      <c r="I3" t="n">
        <v>3020.8</v>
      </c>
      <c r="J3" t="inlineStr">
        <is>
          <t>This is a test</t>
        </is>
      </c>
      <c r="L3" t="inlineStr">
        <is>
          <t>Lore ipsum</t>
        </is>
      </c>
    </row>
    <row r="4" ht="14.5" customHeight="1">
      <c r="A4" s="11" t="n">
        <v>45425</v>
      </c>
      <c r="B4" t="inlineStr">
        <is>
          <t>QQQ</t>
        </is>
      </c>
      <c r="C4" t="n">
        <v>120</v>
      </c>
      <c r="D4" t="inlineStr">
        <is>
          <t>Bearish</t>
        </is>
      </c>
      <c r="E4" t="inlineStr">
        <is>
          <t>Bullish</t>
        </is>
      </c>
      <c r="F4" t="inlineStr">
        <is>
          <t>Fundamental</t>
        </is>
      </c>
      <c r="G4" t="inlineStr">
        <is>
          <t>Inverted Cup</t>
        </is>
      </c>
      <c r="H4" t="n">
        <v>5.5</v>
      </c>
      <c r="I4" t="n">
        <v>3020.8</v>
      </c>
      <c r="J4" t="inlineStr">
        <is>
          <t>This is a test</t>
        </is>
      </c>
      <c r="L4" t="inlineStr">
        <is>
          <t>Lore ipsumsss</t>
        </is>
      </c>
    </row>
    <row r="5" ht="14.5" customHeight="1">
      <c r="A5" s="11" t="n">
        <v>45425</v>
      </c>
      <c r="B5" t="inlineStr">
        <is>
          <t>CELH</t>
        </is>
      </c>
      <c r="C5" t="n">
        <v>130</v>
      </c>
      <c r="D5" t="inlineStr">
        <is>
          <t>Bearish</t>
        </is>
      </c>
      <c r="E5" t="inlineStr">
        <is>
          <t>Bearish</t>
        </is>
      </c>
      <c r="F5" t="inlineStr">
        <is>
          <t>Fundamental</t>
        </is>
      </c>
      <c r="G5" t="inlineStr">
        <is>
          <t>Inverted Cup</t>
        </is>
      </c>
      <c r="H5" t="n">
        <v>5.5</v>
      </c>
      <c r="I5" t="n">
        <v>3020.8</v>
      </c>
      <c r="J5" t="inlineStr">
        <is>
          <t>This is a test</t>
        </is>
      </c>
      <c r="L5" t="inlineStr">
        <is>
          <t>Lore ipsumsafsfds</t>
        </is>
      </c>
      <c r="M5" t="inlineStr">
        <is>
          <t>Yes</t>
        </is>
      </c>
    </row>
    <row r="6" ht="14.5" customHeight="1">
      <c r="A6" s="11" t="n">
        <v>45425</v>
      </c>
      <c r="B6" t="inlineStr">
        <is>
          <t>AAPL</t>
        </is>
      </c>
      <c r="C6" t="n">
        <v>140</v>
      </c>
      <c r="D6" t="inlineStr">
        <is>
          <t>Bearish</t>
        </is>
      </c>
      <c r="E6" t="inlineStr">
        <is>
          <t>Bearish</t>
        </is>
      </c>
      <c r="F6" t="inlineStr">
        <is>
          <t>Fundamental</t>
        </is>
      </c>
      <c r="G6" t="inlineStr">
        <is>
          <t>Bearish Pennant</t>
        </is>
      </c>
      <c r="H6" t="n">
        <v>5.5</v>
      </c>
      <c r="I6" t="n">
        <v>3020.8</v>
      </c>
      <c r="J6" t="inlineStr">
        <is>
          <t>This is a test</t>
        </is>
      </c>
      <c r="L6" t="inlineStr">
        <is>
          <t>Lore ipsum</t>
        </is>
      </c>
    </row>
    <row r="7" ht="14.5" customHeight="1">
      <c r="A7" s="11" t="n">
        <v>45425</v>
      </c>
      <c r="B7" t="inlineStr">
        <is>
          <t>IWM</t>
        </is>
      </c>
      <c r="C7" t="n">
        <v>150</v>
      </c>
      <c r="D7" t="inlineStr">
        <is>
          <t>Bearish</t>
        </is>
      </c>
      <c r="E7" t="inlineStr">
        <is>
          <t>Bearish</t>
        </is>
      </c>
      <c r="F7" t="inlineStr">
        <is>
          <t>Fundamental</t>
        </is>
      </c>
      <c r="G7" t="inlineStr">
        <is>
          <t>Auto Algo Line Daily</t>
        </is>
      </c>
      <c r="H7" t="n">
        <v>5.5</v>
      </c>
      <c r="I7" t="n">
        <v>3020.8</v>
      </c>
      <c r="J7" t="inlineStr">
        <is>
          <t>This is a test</t>
        </is>
      </c>
      <c r="L7" t="inlineStr">
        <is>
          <t>Lore ipsum xxx$$%</t>
        </is>
      </c>
    </row>
    <row r="8" ht="14.5" customHeight="1">
      <c r="A8" s="11" t="n">
        <v>45425</v>
      </c>
      <c r="B8" t="inlineStr">
        <is>
          <t>DKNG</t>
        </is>
      </c>
      <c r="C8" t="n">
        <v>160</v>
      </c>
      <c r="D8" t="inlineStr">
        <is>
          <t>Bullish</t>
        </is>
      </c>
      <c r="E8" t="inlineStr">
        <is>
          <t>Bearish</t>
        </is>
      </c>
      <c r="F8" t="inlineStr">
        <is>
          <t>Technical</t>
        </is>
      </c>
      <c r="G8" t="inlineStr">
        <is>
          <t>Double Bottom</t>
        </is>
      </c>
      <c r="H8" t="n">
        <v>5.5</v>
      </c>
      <c r="I8" t="n">
        <v>3020.8</v>
      </c>
      <c r="J8" t="inlineStr">
        <is>
          <t>This is a test</t>
        </is>
      </c>
      <c r="L8" t="inlineStr">
        <is>
          <t>Lore ipsum ''"''</t>
        </is>
      </c>
      <c r="M8" t="inlineStr">
        <is>
          <t>Yes</t>
        </is>
      </c>
    </row>
    <row r="9" ht="14.5" customHeight="1">
      <c r="A9" s="11" t="n">
        <v>45425</v>
      </c>
      <c r="B9" t="inlineStr">
        <is>
          <t>AMZN</t>
        </is>
      </c>
      <c r="C9" t="n">
        <v>170</v>
      </c>
      <c r="D9" t="inlineStr">
        <is>
          <t>Bullish</t>
        </is>
      </c>
      <c r="E9" t="inlineStr">
        <is>
          <t>Bearish</t>
        </is>
      </c>
      <c r="F9" t="inlineStr">
        <is>
          <t>Technical</t>
        </is>
      </c>
      <c r="G9" t="inlineStr">
        <is>
          <t>Double Bottom</t>
        </is>
      </c>
      <c r="H9" t="n">
        <v>85</v>
      </c>
      <c r="I9" t="n">
        <v>120.5</v>
      </c>
      <c r="J9" t="inlineStr">
        <is>
          <t>This is a test</t>
        </is>
      </c>
      <c r="L9" t="inlineStr">
        <is>
          <t>Lore ipsum ,,"</t>
        </is>
      </c>
      <c r="M9" t="inlineStr">
        <is>
          <t>Yes</t>
        </is>
      </c>
    </row>
    <row r="10" ht="14.5" customHeight="1">
      <c r="A10" s="11" t="n">
        <v>45425</v>
      </c>
    </row>
    <row r="11" ht="14.5" customHeight="1">
      <c r="A11" s="11" t="n">
        <v>45425</v>
      </c>
    </row>
    <row r="12" ht="14.5" customHeight="1">
      <c r="A12" s="11" t="n">
        <v>45425</v>
      </c>
      <c r="B12" t="inlineStr">
        <is>
          <t>AMZN</t>
        </is>
      </c>
      <c r="C12" t="n">
        <v>130</v>
      </c>
      <c r="D12" t="inlineStr">
        <is>
          <t>Bullish</t>
        </is>
      </c>
      <c r="E12" t="inlineStr">
        <is>
          <t>Bearish</t>
        </is>
      </c>
      <c r="F12" t="inlineStr">
        <is>
          <t>Technical</t>
        </is>
      </c>
      <c r="G12" t="inlineStr">
        <is>
          <t>Double Bottom</t>
        </is>
      </c>
      <c r="H12" t="n">
        <v>85</v>
      </c>
      <c r="I12" t="n">
        <v>120.5</v>
      </c>
      <c r="J12" t="inlineStr">
        <is>
          <t>This is a test</t>
        </is>
      </c>
      <c r="L12" t="inlineStr">
        <is>
          <t>Lore ipsum ,,"</t>
        </is>
      </c>
      <c r="M12" t="inlineStr">
        <is>
          <t>Yes</t>
        </is>
      </c>
    </row>
    <row r="13" ht="14.5" customHeight="1">
      <c r="A13" s="11" t="n">
        <v>45426</v>
      </c>
      <c r="B13" t="inlineStr">
        <is>
          <t>GME</t>
        </is>
      </c>
      <c r="C13" t="n">
        <v>100</v>
      </c>
      <c r="D13" t="inlineStr">
        <is>
          <t>Bullish</t>
        </is>
      </c>
      <c r="E13" t="inlineStr">
        <is>
          <t>Bullish</t>
        </is>
      </c>
      <c r="F13" t="inlineStr">
        <is>
          <t>Fundamental</t>
        </is>
      </c>
      <c r="G13" t="inlineStr">
        <is>
          <t>Inverted Cup</t>
        </is>
      </c>
      <c r="H13" t="n">
        <v>90</v>
      </c>
      <c r="I13" t="n">
        <v>150</v>
      </c>
      <c r="J13" t="inlineStr">
        <is>
          <t>This is a test</t>
        </is>
      </c>
      <c r="L13" s="32" t="inlineStr">
        <is>
          <t>Incoming to a lot of MAs traffic that can rebound, and a bit of low wick.
We might have a small bounce.</t>
        </is>
      </c>
      <c r="M13" t="inlineStr">
        <is>
          <t>Yes</t>
        </is>
      </c>
    </row>
    <row r="14" ht="14.5" customHeight="1">
      <c r="A14" s="11" t="n">
        <v>45426</v>
      </c>
      <c r="B14" t="inlineStr">
        <is>
          <t>AMC</t>
        </is>
      </c>
      <c r="C14" t="n">
        <v>100</v>
      </c>
      <c r="D14" t="inlineStr">
        <is>
          <t>Bullish</t>
        </is>
      </c>
      <c r="E14" t="inlineStr">
        <is>
          <t>Bullish</t>
        </is>
      </c>
      <c r="F14" t="inlineStr">
        <is>
          <t>Fundamental</t>
        </is>
      </c>
      <c r="G14" t="inlineStr">
        <is>
          <t>Inverted Cup</t>
        </is>
      </c>
      <c r="H14" t="n">
        <v>90</v>
      </c>
      <c r="I14" t="n">
        <v>150</v>
      </c>
      <c r="J14" t="inlineStr">
        <is>
          <t>This is a test</t>
        </is>
      </c>
      <c r="L14" s="32" t="inlineStr">
        <is>
          <t>Incoming to a lot of MAs traffic that can rebound, and a bit of low wick.
We might have a small bounce.</t>
        </is>
      </c>
    </row>
    <row r="15" ht="14.5" customHeight="1">
      <c r="A15" s="11" t="n">
        <v>45426</v>
      </c>
      <c r="B15" t="inlineStr">
        <is>
          <t>ASTS</t>
        </is>
      </c>
      <c r="C15" t="n">
        <v>100</v>
      </c>
      <c r="D15" t="inlineStr">
        <is>
          <t>Bullish</t>
        </is>
      </c>
      <c r="E15" t="inlineStr">
        <is>
          <t>Bullish</t>
        </is>
      </c>
      <c r="F15" t="inlineStr">
        <is>
          <t>Fundamental</t>
        </is>
      </c>
      <c r="G15" t="inlineStr">
        <is>
          <t>Inverted Cup</t>
        </is>
      </c>
      <c r="H15" t="n">
        <v>90</v>
      </c>
      <c r="I15" t="n">
        <v>150</v>
      </c>
      <c r="J15" t="inlineStr">
        <is>
          <t>This is a test</t>
        </is>
      </c>
      <c r="L15" s="32" t="inlineStr">
        <is>
          <t>Incoming to a lot of MAs traffic that can rebound, and a bit of low wick.
We might have a small bounce.</t>
        </is>
      </c>
      <c r="M15" t="inlineStr">
        <is>
          <t>Yes</t>
        </is>
      </c>
    </row>
    <row r="16" ht="14.5" customHeight="1">
      <c r="A16" s="11" t="n">
        <v>45427</v>
      </c>
      <c r="B16" t="inlineStr">
        <is>
          <t>XPO</t>
        </is>
      </c>
      <c r="C16" t="n">
        <v>100</v>
      </c>
      <c r="D16" t="inlineStr">
        <is>
          <t>Bullish</t>
        </is>
      </c>
      <c r="E16" t="inlineStr">
        <is>
          <t>Bullish</t>
        </is>
      </c>
      <c r="F16" t="inlineStr">
        <is>
          <t>Fundamental</t>
        </is>
      </c>
      <c r="G16" t="inlineStr">
        <is>
          <t>Inverted Cup</t>
        </is>
      </c>
      <c r="H16" t="n">
        <v>90</v>
      </c>
      <c r="I16" t="n">
        <v>150</v>
      </c>
      <c r="J16" t="inlineStr">
        <is>
          <t>This is a test</t>
        </is>
      </c>
      <c r="L16" s="32" t="inlineStr">
        <is>
          <t>Incoming to a lot of MAs traffic that can rebound, and a bit of low wick.
We might have a small bounce.</t>
        </is>
      </c>
      <c r="M16" t="inlineStr">
        <is>
          <t>Yes</t>
        </is>
      </c>
    </row>
  </sheetData>
  <pageMargins left="0.7" right="0.7" top="0.75" bottom="0.75" header="0.3" footer="0.3"/>
</worksheet>
</file>

<file path=xl/worksheets/sheet4.xml><?xml version="1.0" encoding="utf-8"?>
<worksheet xmlns="http://schemas.openxmlformats.org/spreadsheetml/2006/main">
  <sheetPr codeName="Sheet3">
    <outlinePr summaryBelow="1" summaryRight="1"/>
    <pageSetUpPr/>
  </sheetPr>
  <dimension ref="A1:U57"/>
  <sheetViews>
    <sheetView workbookViewId="0">
      <selection activeCell="H1" sqref="H1"/>
    </sheetView>
  </sheetViews>
  <sheetFormatPr baseColWidth="8" defaultRowHeight="14.5"/>
  <cols>
    <col width="10.90625" customWidth="1" min="2" max="2"/>
    <col width="11.1796875" customWidth="1" min="9" max="9"/>
    <col width="12.54296875" customWidth="1" min="10" max="10"/>
    <col width="19.54296875" customWidth="1" min="11" max="11"/>
  </cols>
  <sheetData>
    <row r="1">
      <c r="A1" s="26" t="inlineStr">
        <is>
          <t>Ticker</t>
        </is>
      </c>
      <c r="B1" s="27" t="inlineStr">
        <is>
          <t>Date</t>
        </is>
      </c>
      <c r="C1" s="28" t="inlineStr">
        <is>
          <t>Current Price</t>
        </is>
      </c>
      <c r="D1" s="28" t="inlineStr">
        <is>
          <t>Target Entry</t>
        </is>
      </c>
      <c r="E1" s="28" t="inlineStr">
        <is>
          <t>Target Price</t>
        </is>
      </c>
      <c r="F1" s="28" t="inlineStr">
        <is>
          <t>Stop</t>
        </is>
      </c>
      <c r="G1" s="29" t="inlineStr">
        <is>
          <t>RR Ratio</t>
        </is>
      </c>
      <c r="H1" s="26" t="inlineStr">
        <is>
          <t>Trade Direction</t>
        </is>
      </c>
      <c r="I1" s="26" t="inlineStr">
        <is>
          <t>Strategy</t>
        </is>
      </c>
      <c r="J1" s="26" t="inlineStr">
        <is>
          <t>Market</t>
        </is>
      </c>
      <c r="K1" s="26" t="inlineStr">
        <is>
          <t>Relative</t>
        </is>
      </c>
      <c r="L1" s="26" t="inlineStr">
        <is>
          <t>1hr Trend</t>
        </is>
      </c>
      <c r="M1" s="26" t="inlineStr">
        <is>
          <t>1hr Cloud</t>
        </is>
      </c>
      <c r="N1" s="28" t="inlineStr">
        <is>
          <t>Intended Position</t>
        </is>
      </c>
      <c r="O1" s="4" t="inlineStr">
        <is>
          <t>To win Money</t>
        </is>
      </c>
      <c r="P1" s="4" t="inlineStr">
        <is>
          <t>Money Risk</t>
        </is>
      </c>
      <c r="Q1" s="28" t="inlineStr">
        <is>
          <t>Notes</t>
        </is>
      </c>
      <c r="R1" s="28" t="inlineStr">
        <is>
          <t>Sourced</t>
        </is>
      </c>
      <c r="S1" s="28" t="inlineStr">
        <is>
          <t>Quality</t>
        </is>
      </c>
      <c r="T1" s="28" t="inlineStr">
        <is>
          <t>Filter</t>
        </is>
      </c>
      <c r="U1" s="25" t="inlineStr">
        <is>
          <t>Trade ID</t>
        </is>
      </c>
    </row>
    <row r="2">
      <c r="A2" s="5" t="n"/>
      <c r="B2" s="3" t="n"/>
      <c r="C2" s="4" t="n"/>
      <c r="D2" s="4" t="n"/>
      <c r="E2" s="4" t="n"/>
      <c r="F2" s="4" t="n"/>
      <c r="G2" s="29">
        <f>(Table2[[#This Row],[Target Price]]-Table2[[#This Row],[Target Entry]])/(Table2[[#This Row],[Target Entry]]-Table2[[#This Row],[Stop]])</f>
        <v/>
      </c>
      <c r="H2" s="2" t="n"/>
      <c r="I2" s="2" t="n"/>
      <c r="J2" s="2" t="n"/>
      <c r="K2" s="2" t="n"/>
      <c r="L2" s="2" t="n"/>
      <c r="M2" s="2" t="n"/>
      <c r="N2" s="2" t="n"/>
      <c r="O2" s="4">
        <f>IF(Table2[[#This Row],[Trade Direction]]="Short",Table2[[#This Row],[Target Entry]]-Table2[[#This Row],[Target Price]],Table2[[#This Row],[Target Price]]-Table2[[#This Row],[Target Entry]])*Table2[[#This Row],[Intended Position]]</f>
        <v/>
      </c>
      <c r="P2" s="4">
        <f>IF(Table2[[#This Row],[Trade Direction]]="Short",Table2[[#This Row],[Target Entry]]-Table2[[#This Row],[Stop]],Table2[[#This Row],[Stop]]-Table2[[#This Row],[Target Entry]])*Table2[[#This Row],[Intended Position]]</f>
        <v/>
      </c>
      <c r="Q2" s="2" t="n"/>
      <c r="R2" s="2" t="n"/>
      <c r="S2" s="2" t="n"/>
      <c r="T2" s="2" t="n"/>
      <c r="U2" s="15" t="n"/>
    </row>
    <row r="3">
      <c r="A3" s="5" t="n"/>
      <c r="B3" s="3" t="n"/>
      <c r="C3" s="4" t="n"/>
      <c r="D3" s="4" t="n"/>
      <c r="E3" s="4" t="n"/>
      <c r="F3" s="4" t="n"/>
      <c r="G3" s="29">
        <f>(Table2[[#This Row],[Target Price]]-Table2[[#This Row],[Target Entry]])/(Table2[[#This Row],[Target Entry]]-Table2[[#This Row],[Stop]])</f>
        <v/>
      </c>
      <c r="H3" s="2" t="n"/>
      <c r="I3" s="2" t="n"/>
      <c r="J3" s="2" t="n"/>
      <c r="K3" s="2" t="n"/>
      <c r="L3" s="2" t="n"/>
      <c r="M3" s="2" t="n"/>
      <c r="N3" s="2" t="n"/>
      <c r="O3" s="4">
        <f>IF(Table2[[#This Row],[Trade Direction]]="Short",Table2[[#This Row],[Target Entry]]-Table2[[#This Row],[Target Price]],Table2[[#This Row],[Target Price]]-Table2[[#This Row],[Target Entry]])*Table2[[#This Row],[Intended Position]]</f>
        <v/>
      </c>
      <c r="P3" s="4">
        <f>IF(Table2[[#This Row],[Trade Direction]]="Short",Table2[[#This Row],[Target Entry]]-Table2[[#This Row],[Stop]],Table2[[#This Row],[Stop]]-Table2[[#This Row],[Target Entry]])*Table2[[#This Row],[Intended Position]]</f>
        <v/>
      </c>
      <c r="Q3" s="2" t="n"/>
      <c r="R3" s="2" t="n"/>
      <c r="S3" s="2" t="n"/>
      <c r="T3" s="2" t="n"/>
      <c r="U3" s="15" t="n"/>
    </row>
    <row r="4">
      <c r="A4" s="5" t="n"/>
      <c r="B4" s="3" t="n"/>
      <c r="C4" s="4" t="n"/>
      <c r="D4" s="4" t="n"/>
      <c r="E4" s="4" t="n"/>
      <c r="F4" s="4" t="n"/>
      <c r="G4" s="29">
        <f>(Table2[[#This Row],[Target Price]]-Table2[[#This Row],[Target Entry]])/(Table2[[#This Row],[Target Entry]]-Table2[[#This Row],[Stop]])</f>
        <v/>
      </c>
      <c r="H4" s="2" t="n"/>
      <c r="I4" s="2" t="n"/>
      <c r="J4" s="2" t="n"/>
      <c r="K4" s="2" t="n"/>
      <c r="L4" s="2" t="n"/>
      <c r="M4" s="2" t="n"/>
      <c r="N4" s="2" t="n"/>
      <c r="O4" s="4">
        <f>IF(Table2[[#This Row],[Trade Direction]]="Short",Table2[[#This Row],[Target Entry]]-Table2[[#This Row],[Target Price]],Table2[[#This Row],[Target Price]]-Table2[[#This Row],[Target Entry]])*Table2[[#This Row],[Intended Position]]</f>
        <v/>
      </c>
      <c r="P4" s="4">
        <f>IF(Table2[[#This Row],[Trade Direction]]="Short",Table2[[#This Row],[Target Entry]]-Table2[[#This Row],[Stop]],Table2[[#This Row],[Stop]]-Table2[[#This Row],[Target Entry]])*Table2[[#This Row],[Intended Position]]</f>
        <v/>
      </c>
      <c r="Q4" s="2" t="n"/>
      <c r="R4" s="2" t="n"/>
      <c r="S4" s="2" t="n"/>
      <c r="T4" s="2" t="n"/>
      <c r="U4" s="15" t="n"/>
    </row>
    <row r="5">
      <c r="A5" s="5" t="n"/>
      <c r="B5" s="3" t="n"/>
      <c r="C5" s="4" t="n"/>
      <c r="D5" s="4" t="n"/>
      <c r="E5" s="4" t="n"/>
      <c r="F5" s="4" t="n"/>
      <c r="G5" s="29">
        <f>(Table2[[#This Row],[Target Price]]-Table2[[#This Row],[Target Entry]])/(Table2[[#This Row],[Target Entry]]-Table2[[#This Row],[Stop]])</f>
        <v/>
      </c>
      <c r="H5" s="2" t="n"/>
      <c r="I5" s="2" t="n"/>
      <c r="J5" s="2" t="n"/>
      <c r="K5" s="2" t="n"/>
      <c r="L5" s="2" t="n"/>
      <c r="M5" s="2" t="n"/>
      <c r="N5" s="2" t="n"/>
      <c r="O5" s="4">
        <f>IF(Table2[[#This Row],[Trade Direction]]="Short",Table2[[#This Row],[Target Entry]]-Table2[[#This Row],[Target Price]],Table2[[#This Row],[Target Price]]-Table2[[#This Row],[Target Entry]])*Table2[[#This Row],[Intended Position]]</f>
        <v/>
      </c>
      <c r="P5" s="4">
        <f>IF(Table2[[#This Row],[Trade Direction]]="Short",Table2[[#This Row],[Target Entry]]-Table2[[#This Row],[Stop]],Table2[[#This Row],[Stop]]-Table2[[#This Row],[Target Entry]])*Table2[[#This Row],[Intended Position]]</f>
        <v/>
      </c>
      <c r="Q5" s="2" t="n"/>
      <c r="R5" s="2" t="n"/>
      <c r="S5" s="2" t="n"/>
      <c r="T5" s="2" t="n"/>
      <c r="U5" s="15" t="n"/>
    </row>
    <row r="6">
      <c r="A6" s="5" t="n"/>
      <c r="B6" s="3" t="n"/>
      <c r="C6" s="4" t="n"/>
      <c r="D6" s="4" t="n"/>
      <c r="E6" s="4" t="n"/>
      <c r="F6" s="4" t="n"/>
      <c r="G6" s="29">
        <f>(Table2[[#This Row],[Target Price]]-Table2[[#This Row],[Target Entry]])/(Table2[[#This Row],[Target Entry]]-Table2[[#This Row],[Stop]])</f>
        <v/>
      </c>
      <c r="H6" s="2" t="n"/>
      <c r="I6" s="2" t="n"/>
      <c r="J6" s="2" t="n"/>
      <c r="K6" s="2" t="n"/>
      <c r="L6" s="2" t="n"/>
      <c r="M6" s="2" t="n"/>
      <c r="N6" s="2" t="n"/>
      <c r="O6" s="4">
        <f>IF(Table2[[#This Row],[Trade Direction]]="Short",Table2[[#This Row],[Target Entry]]-Table2[[#This Row],[Target Price]],Table2[[#This Row],[Target Price]]-Table2[[#This Row],[Target Entry]])*Table2[[#This Row],[Intended Position]]</f>
        <v/>
      </c>
      <c r="P6" s="4">
        <f>IF(Table2[[#This Row],[Trade Direction]]="Short",Table2[[#This Row],[Target Entry]]-Table2[[#This Row],[Stop]],Table2[[#This Row],[Stop]]-Table2[[#This Row],[Target Entry]])*Table2[[#This Row],[Intended Position]]</f>
        <v/>
      </c>
      <c r="Q6" s="2" t="n"/>
      <c r="R6" s="2" t="n"/>
      <c r="S6" s="2" t="n"/>
      <c r="T6" s="2" t="n"/>
      <c r="U6" s="15" t="n"/>
    </row>
    <row r="7">
      <c r="A7" s="5" t="n"/>
      <c r="B7" s="3" t="n"/>
      <c r="C7" s="4" t="n"/>
      <c r="D7" s="4" t="n"/>
      <c r="E7" s="4" t="n"/>
      <c r="F7" s="4" t="n"/>
      <c r="G7" s="29">
        <f>(Table2[[#This Row],[Target Price]]-Table2[[#This Row],[Target Entry]])/(Table2[[#This Row],[Target Entry]]-Table2[[#This Row],[Stop]])</f>
        <v/>
      </c>
      <c r="H7" s="2" t="n"/>
      <c r="I7" s="2" t="n"/>
      <c r="J7" s="2" t="n"/>
      <c r="K7" s="2" t="n"/>
      <c r="L7" s="2" t="n"/>
      <c r="M7" s="2" t="n"/>
      <c r="N7" s="2" t="n"/>
      <c r="O7" s="4">
        <f>IF(Table2[[#This Row],[Trade Direction]]="Short",Table2[[#This Row],[Target Entry]]-Table2[[#This Row],[Target Price]],Table2[[#This Row],[Target Price]]-Table2[[#This Row],[Target Entry]])*Table2[[#This Row],[Intended Position]]</f>
        <v/>
      </c>
      <c r="P7" s="4">
        <f>IF(Table2[[#This Row],[Trade Direction]]="Short",Table2[[#This Row],[Target Entry]]-Table2[[#This Row],[Stop]],Table2[[#This Row],[Stop]]-Table2[[#This Row],[Target Entry]])*Table2[[#This Row],[Intended Position]]</f>
        <v/>
      </c>
      <c r="Q7" s="2" t="n"/>
      <c r="R7" s="2" t="n"/>
      <c r="S7" s="2" t="n"/>
      <c r="T7" s="2" t="n"/>
      <c r="U7" s="15" t="n"/>
    </row>
    <row r="8">
      <c r="A8" s="5" t="n"/>
      <c r="B8" s="3" t="n"/>
      <c r="C8" s="4" t="n"/>
      <c r="D8" s="4" t="n"/>
      <c r="E8" s="4" t="n"/>
      <c r="F8" s="4" t="n"/>
      <c r="G8" s="29">
        <f>(Table2[[#This Row],[Target Price]]-Table2[[#This Row],[Target Entry]])/(Table2[[#This Row],[Target Entry]]-Table2[[#This Row],[Stop]])</f>
        <v/>
      </c>
      <c r="H8" s="2" t="n"/>
      <c r="I8" s="2" t="n"/>
      <c r="J8" s="2" t="n"/>
      <c r="K8" s="2" t="n"/>
      <c r="L8" s="2" t="n"/>
      <c r="M8" s="2" t="n"/>
      <c r="N8" s="2" t="n"/>
      <c r="O8" s="4">
        <f>IF(Table2[[#This Row],[Trade Direction]]="Short",Table2[[#This Row],[Target Entry]]-Table2[[#This Row],[Target Price]],Table2[[#This Row],[Target Price]]-Table2[[#This Row],[Target Entry]])*Table2[[#This Row],[Intended Position]]</f>
        <v/>
      </c>
      <c r="P8" s="4">
        <f>IF(Table2[[#This Row],[Trade Direction]]="Short",Table2[[#This Row],[Target Entry]]-Table2[[#This Row],[Stop]],Table2[[#This Row],[Stop]]-Table2[[#This Row],[Target Entry]])*Table2[[#This Row],[Intended Position]]</f>
        <v/>
      </c>
      <c r="Q8" s="2" t="n"/>
      <c r="R8" s="2" t="n"/>
      <c r="S8" s="2" t="n"/>
      <c r="T8" s="2" t="n"/>
      <c r="U8" s="15" t="n"/>
    </row>
    <row r="9">
      <c r="A9" s="5" t="n"/>
      <c r="B9" s="3" t="n"/>
      <c r="C9" s="4" t="n"/>
      <c r="D9" s="4" t="n"/>
      <c r="E9" s="4" t="n"/>
      <c r="F9" s="4" t="n"/>
      <c r="G9" s="29">
        <f>(Table2[[#This Row],[Target Price]]-Table2[[#This Row],[Target Entry]])/(Table2[[#This Row],[Target Entry]]-Table2[[#This Row],[Stop]])</f>
        <v/>
      </c>
      <c r="H9" s="2" t="n"/>
      <c r="I9" s="2" t="n"/>
      <c r="J9" s="2" t="n"/>
      <c r="K9" s="2" t="n"/>
      <c r="L9" s="2" t="n"/>
      <c r="M9" s="2" t="n"/>
      <c r="N9" s="2" t="n"/>
      <c r="O9" s="4">
        <f>IF(Table2[[#This Row],[Trade Direction]]="Short",Table2[[#This Row],[Target Entry]]-Table2[[#This Row],[Target Price]],Table2[[#This Row],[Target Price]]-Table2[[#This Row],[Target Entry]])*Table2[[#This Row],[Intended Position]]</f>
        <v/>
      </c>
      <c r="P9" s="4">
        <f>IF(Table2[[#This Row],[Trade Direction]]="Short",Table2[[#This Row],[Target Entry]]-Table2[[#This Row],[Stop]],Table2[[#This Row],[Stop]]-Table2[[#This Row],[Target Entry]])*Table2[[#This Row],[Intended Position]]</f>
        <v/>
      </c>
      <c r="Q9" s="2" t="n"/>
      <c r="R9" s="2" t="n"/>
      <c r="S9" s="2" t="n"/>
      <c r="T9" s="2" t="n"/>
      <c r="U9" s="15" t="n"/>
    </row>
    <row r="10">
      <c r="A10" s="5" t="n"/>
      <c r="B10" s="3" t="n"/>
      <c r="C10" s="4" t="n"/>
      <c r="D10" s="4" t="n"/>
      <c r="E10" s="4" t="n"/>
      <c r="F10" s="4" t="n"/>
      <c r="G10" s="29">
        <f>(Table2[[#This Row],[Target Price]]-Table2[[#This Row],[Target Entry]])/(Table2[[#This Row],[Target Entry]]-Table2[[#This Row],[Stop]])</f>
        <v/>
      </c>
      <c r="H10" s="2" t="n"/>
      <c r="I10" s="2" t="n"/>
      <c r="J10" s="2" t="n"/>
      <c r="K10" s="2" t="n"/>
      <c r="L10" s="2" t="n"/>
      <c r="M10" s="2" t="n"/>
      <c r="N10" s="2" t="n"/>
      <c r="O10" s="4">
        <f>IF(Table2[[#This Row],[Trade Direction]]="Short",Table2[[#This Row],[Target Entry]]-Table2[[#This Row],[Target Price]],Table2[[#This Row],[Target Price]]-Table2[[#This Row],[Target Entry]])*Table2[[#This Row],[Intended Position]]</f>
        <v/>
      </c>
      <c r="P10" s="4">
        <f>IF(Table2[[#This Row],[Trade Direction]]="Short",Table2[[#This Row],[Target Entry]]-Table2[[#This Row],[Stop]],Table2[[#This Row],[Stop]]-Table2[[#This Row],[Target Entry]])*Table2[[#This Row],[Intended Position]]</f>
        <v/>
      </c>
      <c r="Q10" s="2" t="n"/>
      <c r="R10" s="2" t="n"/>
      <c r="S10" s="2" t="n"/>
      <c r="T10" s="2" t="n"/>
      <c r="U10" s="15" t="n"/>
    </row>
    <row r="11">
      <c r="A11" s="5" t="n"/>
      <c r="B11" s="3" t="n"/>
      <c r="C11" s="4" t="n"/>
      <c r="D11" s="4" t="n"/>
      <c r="E11" s="4" t="n"/>
      <c r="F11" s="4" t="n"/>
      <c r="G11" s="29">
        <f>(Table2[[#This Row],[Target Price]]-Table2[[#This Row],[Target Entry]])/(Table2[[#This Row],[Target Entry]]-Table2[[#This Row],[Stop]])</f>
        <v/>
      </c>
      <c r="H11" s="2" t="n"/>
      <c r="I11" s="2" t="n"/>
      <c r="J11" s="2" t="n"/>
      <c r="K11" s="2" t="n"/>
      <c r="L11" s="2" t="n"/>
      <c r="M11" s="2" t="n"/>
      <c r="N11" s="2" t="n"/>
      <c r="O11" s="4">
        <f>IF(Table2[[#This Row],[Trade Direction]]="Short",Table2[[#This Row],[Target Entry]]-Table2[[#This Row],[Target Price]],Table2[[#This Row],[Target Price]]-Table2[[#This Row],[Target Entry]])*Table2[[#This Row],[Intended Position]]</f>
        <v/>
      </c>
      <c r="P11" s="4">
        <f>IF(Table2[[#This Row],[Trade Direction]]="Short",Table2[[#This Row],[Target Entry]]-Table2[[#This Row],[Stop]],Table2[[#This Row],[Stop]]-Table2[[#This Row],[Target Entry]])*Table2[[#This Row],[Intended Position]]</f>
        <v/>
      </c>
      <c r="Q11" s="2" t="n"/>
      <c r="R11" s="2" t="n"/>
      <c r="S11" s="2" t="n"/>
      <c r="T11" s="2" t="n"/>
      <c r="U11" s="15" t="n"/>
    </row>
    <row r="12">
      <c r="A12" s="5" t="n"/>
      <c r="B12" s="3" t="n"/>
      <c r="C12" s="4" t="n"/>
      <c r="D12" s="4" t="n"/>
      <c r="E12" s="4" t="n"/>
      <c r="F12" s="4" t="n"/>
      <c r="G12" s="29">
        <f>(Table2[[#This Row],[Target Price]]-Table2[[#This Row],[Target Entry]])/(Table2[[#This Row],[Target Entry]]-Table2[[#This Row],[Stop]])</f>
        <v/>
      </c>
      <c r="H12" s="2" t="n"/>
      <c r="I12" s="2" t="n"/>
      <c r="J12" s="2" t="n"/>
      <c r="K12" s="2" t="n"/>
      <c r="L12" s="2" t="n"/>
      <c r="M12" s="2" t="n"/>
      <c r="N12" s="2" t="n"/>
      <c r="O12" s="4">
        <f>IF(Table2[[#This Row],[Trade Direction]]="Short",Table2[[#This Row],[Target Entry]]-Table2[[#This Row],[Target Price]],Table2[[#This Row],[Target Price]]-Table2[[#This Row],[Target Entry]])*Table2[[#This Row],[Intended Position]]</f>
        <v/>
      </c>
      <c r="P12" s="4">
        <f>IF(Table2[[#This Row],[Trade Direction]]="Short",Table2[[#This Row],[Target Entry]]-Table2[[#This Row],[Stop]],Table2[[#This Row],[Stop]]-Table2[[#This Row],[Target Entry]])*Table2[[#This Row],[Intended Position]]</f>
        <v/>
      </c>
      <c r="Q12" s="2" t="n"/>
      <c r="R12" s="2" t="n"/>
      <c r="S12" s="2" t="n"/>
      <c r="T12" s="2" t="n"/>
      <c r="U12" s="15" t="n"/>
    </row>
    <row r="13">
      <c r="A13" s="5" t="n"/>
      <c r="B13" s="3" t="n"/>
      <c r="C13" s="4" t="n"/>
      <c r="D13" s="4" t="n"/>
      <c r="E13" s="4" t="n"/>
      <c r="F13" s="4" t="n"/>
      <c r="G13" s="29">
        <f>(Table2[[#This Row],[Target Price]]-Table2[[#This Row],[Target Entry]])/(Table2[[#This Row],[Target Entry]]-Table2[[#This Row],[Stop]])</f>
        <v/>
      </c>
      <c r="H13" s="2" t="n"/>
      <c r="I13" s="2" t="n"/>
      <c r="J13" s="2" t="n"/>
      <c r="K13" s="2" t="n"/>
      <c r="L13" s="2" t="n"/>
      <c r="M13" s="2" t="n"/>
      <c r="N13" s="2" t="n"/>
      <c r="O13" s="4">
        <f>IF(Table2[[#This Row],[Trade Direction]]="Short",Table2[[#This Row],[Target Entry]]-Table2[[#This Row],[Target Price]],Table2[[#This Row],[Target Price]]-Table2[[#This Row],[Target Entry]])*Table2[[#This Row],[Intended Position]]</f>
        <v/>
      </c>
      <c r="P13" s="4">
        <f>IF(Table2[[#This Row],[Trade Direction]]="Short",Table2[[#This Row],[Target Entry]]-Table2[[#This Row],[Stop]],Table2[[#This Row],[Stop]]-Table2[[#This Row],[Target Entry]])*Table2[[#This Row],[Intended Position]]</f>
        <v/>
      </c>
      <c r="Q13" s="2" t="n"/>
      <c r="R13" s="2" t="n"/>
      <c r="S13" s="2" t="n"/>
      <c r="T13" s="2" t="n"/>
      <c r="U13" s="15" t="n"/>
    </row>
    <row r="14">
      <c r="A14" s="5" t="n"/>
      <c r="B14" s="3" t="n"/>
      <c r="C14" s="4" t="n"/>
      <c r="D14" s="4" t="n"/>
      <c r="E14" s="4" t="n"/>
      <c r="F14" s="4" t="n"/>
      <c r="G14" s="29">
        <f>(Table2[[#This Row],[Target Price]]-Table2[[#This Row],[Target Entry]])/(Table2[[#This Row],[Target Entry]]-Table2[[#This Row],[Stop]])</f>
        <v/>
      </c>
      <c r="H14" s="2" t="n"/>
      <c r="I14" s="2" t="n"/>
      <c r="J14" s="2" t="n"/>
      <c r="K14" s="2" t="n"/>
      <c r="L14" s="2" t="n"/>
      <c r="M14" s="2" t="n"/>
      <c r="N14" s="2" t="n"/>
      <c r="O14" s="4">
        <f>IF(Table2[[#This Row],[Trade Direction]]="Short",Table2[[#This Row],[Target Entry]]-Table2[[#This Row],[Target Price]],Table2[[#This Row],[Target Price]]-Table2[[#This Row],[Target Entry]])*Table2[[#This Row],[Intended Position]]</f>
        <v/>
      </c>
      <c r="P14" s="4">
        <f>IF(Table2[[#This Row],[Trade Direction]]="Short",Table2[[#This Row],[Target Entry]]-Table2[[#This Row],[Stop]],Table2[[#This Row],[Stop]]-Table2[[#This Row],[Target Entry]])*Table2[[#This Row],[Intended Position]]</f>
        <v/>
      </c>
      <c r="Q14" s="2" t="n"/>
      <c r="R14" s="2" t="n"/>
      <c r="S14" s="2" t="n"/>
      <c r="T14" s="2" t="n"/>
      <c r="U14" s="15" t="n"/>
    </row>
    <row r="15">
      <c r="A15" s="5" t="n"/>
      <c r="B15" s="3" t="n"/>
      <c r="C15" s="4" t="n"/>
      <c r="D15" s="4" t="n"/>
      <c r="E15" s="4" t="n"/>
      <c r="F15" s="4" t="n"/>
      <c r="G15" s="29">
        <f>(Table2[[#This Row],[Target Price]]-Table2[[#This Row],[Target Entry]])/(Table2[[#This Row],[Target Entry]]-Table2[[#This Row],[Stop]])</f>
        <v/>
      </c>
      <c r="H15" s="2" t="n"/>
      <c r="I15" s="2" t="n"/>
      <c r="J15" s="2" t="n"/>
      <c r="K15" s="2" t="n"/>
      <c r="L15" s="2" t="n"/>
      <c r="M15" s="2" t="n"/>
      <c r="N15" s="2" t="n"/>
      <c r="O15" s="4">
        <f>IF(Table2[[#This Row],[Trade Direction]]="Short",Table2[[#This Row],[Target Entry]]-Table2[[#This Row],[Target Price]],Table2[[#This Row],[Target Price]]-Table2[[#This Row],[Target Entry]])*Table2[[#This Row],[Intended Position]]</f>
        <v/>
      </c>
      <c r="P15" s="4">
        <f>IF(Table2[[#This Row],[Trade Direction]]="Short",Table2[[#This Row],[Target Entry]]-Table2[[#This Row],[Stop]],Table2[[#This Row],[Stop]]-Table2[[#This Row],[Target Entry]])*Table2[[#This Row],[Intended Position]]</f>
        <v/>
      </c>
      <c r="Q15" s="2" t="n"/>
      <c r="R15" s="2" t="n"/>
      <c r="S15" s="2" t="n"/>
      <c r="T15" s="2" t="n"/>
      <c r="U15" s="15" t="n"/>
    </row>
    <row r="16">
      <c r="A16" s="5" t="n"/>
      <c r="B16" s="3" t="n"/>
      <c r="C16" s="4" t="n"/>
      <c r="D16" s="4" t="n"/>
      <c r="E16" s="4" t="n"/>
      <c r="F16" s="4" t="n"/>
      <c r="G16" s="29">
        <f>(Table2[[#This Row],[Target Price]]-Table2[[#This Row],[Target Entry]])/(Table2[[#This Row],[Target Entry]]-Table2[[#This Row],[Stop]])</f>
        <v/>
      </c>
      <c r="H16" s="2" t="n"/>
      <c r="I16" s="2" t="n"/>
      <c r="J16" s="2" t="n"/>
      <c r="K16" s="2" t="n"/>
      <c r="L16" s="2" t="n"/>
      <c r="M16" s="2" t="n"/>
      <c r="N16" s="2" t="n"/>
      <c r="O16" s="4">
        <f>IF(Table2[[#This Row],[Trade Direction]]="Short",Table2[[#This Row],[Target Entry]]-Table2[[#This Row],[Target Price]],Table2[[#This Row],[Target Price]]-Table2[[#This Row],[Target Entry]])*Table2[[#This Row],[Intended Position]]</f>
        <v/>
      </c>
      <c r="P16" s="4">
        <f>IF(Table2[[#This Row],[Trade Direction]]="Short",Table2[[#This Row],[Target Entry]]-Table2[[#This Row],[Stop]],Table2[[#This Row],[Stop]]-Table2[[#This Row],[Target Entry]])*Table2[[#This Row],[Intended Position]]</f>
        <v/>
      </c>
      <c r="Q16" s="2" t="n"/>
      <c r="R16" s="2" t="n"/>
      <c r="S16" s="2" t="n"/>
      <c r="T16" s="2" t="n"/>
      <c r="U16" s="15" t="n"/>
    </row>
    <row r="17">
      <c r="A17" s="5" t="n"/>
      <c r="B17" s="3" t="n"/>
      <c r="C17" s="4" t="n"/>
      <c r="D17" s="4" t="n"/>
      <c r="E17" s="4" t="n"/>
      <c r="F17" s="4" t="n"/>
      <c r="G17" s="29">
        <f>(Table2[[#This Row],[Target Price]]-Table2[[#This Row],[Target Entry]])/(Table2[[#This Row],[Target Entry]]-Table2[[#This Row],[Stop]])</f>
        <v/>
      </c>
      <c r="H17" s="2" t="n"/>
      <c r="I17" s="2" t="n"/>
      <c r="J17" s="2" t="n"/>
      <c r="K17" s="2" t="n"/>
      <c r="L17" s="2" t="n"/>
      <c r="M17" s="2" t="n"/>
      <c r="N17" s="2" t="n"/>
      <c r="O17" s="4">
        <f>IF(Table2[[#This Row],[Trade Direction]]="Short",Table2[[#This Row],[Target Entry]]-Table2[[#This Row],[Target Price]],Table2[[#This Row],[Target Price]]-Table2[[#This Row],[Target Entry]])*Table2[[#This Row],[Intended Position]]</f>
        <v/>
      </c>
      <c r="P17" s="4">
        <f>IF(Table2[[#This Row],[Trade Direction]]="Short",Table2[[#This Row],[Target Entry]]-Table2[[#This Row],[Stop]],Table2[[#This Row],[Stop]]-Table2[[#This Row],[Target Entry]])*Table2[[#This Row],[Intended Position]]</f>
        <v/>
      </c>
      <c r="Q17" s="2" t="n"/>
      <c r="R17" s="2" t="n"/>
      <c r="S17" s="2" t="n"/>
      <c r="T17" s="2" t="n"/>
      <c r="U17" s="15" t="n"/>
    </row>
    <row r="18">
      <c r="A18" s="5" t="n"/>
      <c r="B18" s="3" t="n"/>
      <c r="C18" s="4" t="n"/>
      <c r="D18" s="4" t="n"/>
      <c r="E18" s="4" t="n"/>
      <c r="F18" s="4" t="n"/>
      <c r="G18" s="29">
        <f>(Table2[[#This Row],[Target Price]]-Table2[[#This Row],[Target Entry]])/(Table2[[#This Row],[Target Entry]]-Table2[[#This Row],[Stop]])</f>
        <v/>
      </c>
      <c r="H18" s="2" t="n"/>
      <c r="I18" s="2" t="n"/>
      <c r="J18" s="2" t="n"/>
      <c r="K18" s="2" t="n"/>
      <c r="L18" s="2" t="n"/>
      <c r="M18" s="2" t="n"/>
      <c r="N18" s="2" t="n"/>
      <c r="O18" s="4">
        <f>IF(Table2[[#This Row],[Trade Direction]]="Short",Table2[[#This Row],[Target Entry]]-Table2[[#This Row],[Target Price]],Table2[[#This Row],[Target Price]]-Table2[[#This Row],[Target Entry]])*Table2[[#This Row],[Intended Position]]</f>
        <v/>
      </c>
      <c r="P18" s="4">
        <f>IF(Table2[[#This Row],[Trade Direction]]="Short",Table2[[#This Row],[Target Entry]]-Table2[[#This Row],[Stop]],Table2[[#This Row],[Stop]]-Table2[[#This Row],[Target Entry]])*Table2[[#This Row],[Intended Position]]</f>
        <v/>
      </c>
      <c r="Q18" s="2" t="n"/>
      <c r="R18" s="2" t="n"/>
      <c r="S18" s="2" t="n"/>
      <c r="T18" s="2" t="n"/>
      <c r="U18" s="15" t="n"/>
    </row>
    <row r="19">
      <c r="A19" s="5" t="n"/>
      <c r="B19" s="3" t="n"/>
      <c r="C19" s="4" t="n"/>
      <c r="D19" s="4" t="n"/>
      <c r="E19" s="4" t="n"/>
      <c r="F19" s="4" t="n"/>
      <c r="G19" s="29">
        <f>(Table2[[#This Row],[Target Price]]-Table2[[#This Row],[Target Entry]])/(Table2[[#This Row],[Target Entry]]-Table2[[#This Row],[Stop]])</f>
        <v/>
      </c>
      <c r="H19" s="2" t="n"/>
      <c r="I19" s="2" t="n"/>
      <c r="J19" s="2" t="n"/>
      <c r="K19" s="2" t="n"/>
      <c r="L19" s="2" t="n"/>
      <c r="M19" s="2" t="n"/>
      <c r="N19" s="2" t="n"/>
      <c r="O19" s="4">
        <f>IF(Table2[[#This Row],[Trade Direction]]="Short",Table2[[#This Row],[Target Entry]]-Table2[[#This Row],[Target Price]],Table2[[#This Row],[Target Price]]-Table2[[#This Row],[Target Entry]])*Table2[[#This Row],[Intended Position]]</f>
        <v/>
      </c>
      <c r="P19" s="4">
        <f>IF(Table2[[#This Row],[Trade Direction]]="Short",Table2[[#This Row],[Target Entry]]-Table2[[#This Row],[Stop]],Table2[[#This Row],[Stop]]-Table2[[#This Row],[Target Entry]])*Table2[[#This Row],[Intended Position]]</f>
        <v/>
      </c>
      <c r="Q19" s="2" t="n"/>
      <c r="R19" s="2" t="n"/>
      <c r="S19" s="2" t="n"/>
      <c r="T19" s="2" t="n"/>
      <c r="U19" s="15" t="n"/>
    </row>
    <row r="20">
      <c r="A20" s="5" t="n"/>
      <c r="B20" s="3" t="n"/>
      <c r="C20" s="4" t="n"/>
      <c r="D20" s="4" t="n"/>
      <c r="E20" s="4" t="n"/>
      <c r="F20" s="4" t="n"/>
      <c r="G20" s="29">
        <f>(Table2[[#This Row],[Target Price]]-Table2[[#This Row],[Target Entry]])/(Table2[[#This Row],[Target Entry]]-Table2[[#This Row],[Stop]])</f>
        <v/>
      </c>
      <c r="H20" s="2" t="n"/>
      <c r="I20" s="2" t="n"/>
      <c r="J20" s="2" t="n"/>
      <c r="K20" s="2" t="n"/>
      <c r="L20" s="2" t="n"/>
      <c r="M20" s="2" t="n"/>
      <c r="N20" s="2" t="n"/>
      <c r="O20" s="4">
        <f>IF(Table2[[#This Row],[Trade Direction]]="Short",Table2[[#This Row],[Target Entry]]-Table2[[#This Row],[Target Price]],Table2[[#This Row],[Target Price]]-Table2[[#This Row],[Target Entry]])*Table2[[#This Row],[Intended Position]]</f>
        <v/>
      </c>
      <c r="P20" s="4">
        <f>IF(Table2[[#This Row],[Trade Direction]]="Short",Table2[[#This Row],[Target Entry]]-Table2[[#This Row],[Stop]],Table2[[#This Row],[Stop]]-Table2[[#This Row],[Target Entry]])*Table2[[#This Row],[Intended Position]]</f>
        <v/>
      </c>
      <c r="Q20" s="2" t="n"/>
      <c r="R20" s="2" t="n"/>
      <c r="S20" s="2" t="n"/>
      <c r="T20" s="2" t="n"/>
      <c r="U20" s="15" t="n"/>
    </row>
    <row r="21">
      <c r="A21" s="6" t="n"/>
      <c r="B21" s="7" t="n"/>
      <c r="C21" s="8" t="n"/>
      <c r="D21" s="8" t="n"/>
      <c r="E21" s="8" t="n"/>
      <c r="F21" s="8" t="n"/>
      <c r="G21" s="9">
        <f>(Table2[[#This Row],[Target Price]]-Table2[[#This Row],[Target Entry]])/(Table2[[#This Row],[Target Entry]]-Table2[[#This Row],[Stop]])</f>
        <v/>
      </c>
      <c r="H21" s="10" t="n"/>
      <c r="I21" s="10" t="n"/>
      <c r="J21" s="10" t="n"/>
      <c r="K21" s="10" t="n"/>
      <c r="L21" s="10" t="n"/>
      <c r="M21" s="10" t="n"/>
      <c r="N21" s="10" t="n"/>
      <c r="O21" s="8">
        <f>IF(Table2[[#This Row],[Trade Direction]]="Short",Table2[[#This Row],[Target Entry]]-Table2[[#This Row],[Target Price]],Table2[[#This Row],[Target Price]]-Table2[[#This Row],[Target Entry]])*Table2[[#This Row],[Intended Position]]</f>
        <v/>
      </c>
      <c r="P21" s="8">
        <f>IF(Table2[[#This Row],[Trade Direction]]="Short",Table2[[#This Row],[Target Entry]]-Table2[[#This Row],[Stop]],Table2[[#This Row],[Stop]]-Table2[[#This Row],[Target Entry]])*Table2[[#This Row],[Intended Position]]</f>
        <v/>
      </c>
      <c r="Q21" s="10" t="n"/>
      <c r="R21" s="10" t="n"/>
      <c r="S21" s="10" t="n"/>
      <c r="T21" s="2" t="n"/>
      <c r="U21" s="15" t="n"/>
    </row>
    <row r="22">
      <c r="A22" s="5" t="n"/>
      <c r="B22" s="3" t="n"/>
      <c r="C22" s="4" t="n"/>
      <c r="D22" s="4" t="n"/>
      <c r="E22" s="4" t="n"/>
      <c r="F22" s="4" t="n"/>
      <c r="G22" s="29">
        <f>(Table2[[#This Row],[Target Price]]-Table2[[#This Row],[Target Entry]])/(Table2[[#This Row],[Target Entry]]-Table2[[#This Row],[Stop]])</f>
        <v/>
      </c>
      <c r="H22" s="2" t="n"/>
      <c r="I22" s="2" t="n"/>
      <c r="J22" s="2" t="n"/>
      <c r="K22" s="2" t="n"/>
      <c r="L22" s="2" t="n"/>
      <c r="M22" s="2" t="n"/>
      <c r="N22" s="2" t="n"/>
      <c r="O22" s="4">
        <f>IF(Table2[[#This Row],[Trade Direction]]="Short",Table2[[#This Row],[Target Entry]]-Table2[[#This Row],[Target Price]],Table2[[#This Row],[Target Price]]-Table2[[#This Row],[Target Entry]])*Table2[[#This Row],[Intended Position]]</f>
        <v/>
      </c>
      <c r="P22" s="4">
        <f>IF(Table2[[#This Row],[Trade Direction]]="Short",Table2[[#This Row],[Target Entry]]-Table2[[#This Row],[Stop]],Table2[[#This Row],[Stop]]-Table2[[#This Row],[Target Entry]])*Table2[[#This Row],[Intended Position]]</f>
        <v/>
      </c>
      <c r="Q22" s="2" t="n"/>
      <c r="R22" s="2" t="n"/>
      <c r="S22" s="2" t="n"/>
      <c r="T22" s="2" t="n"/>
      <c r="U22" s="15" t="n"/>
    </row>
    <row r="23">
      <c r="A23" s="5" t="n"/>
      <c r="B23" s="3" t="n"/>
      <c r="C23" s="4" t="n"/>
      <c r="D23" s="4" t="n"/>
      <c r="E23" s="4" t="n"/>
      <c r="F23" s="4" t="n"/>
      <c r="G23" s="29">
        <f>(Table2[[#This Row],[Target Price]]-Table2[[#This Row],[Target Entry]])/(Table2[[#This Row],[Target Entry]]-Table2[[#This Row],[Stop]])</f>
        <v/>
      </c>
      <c r="H23" s="2" t="n"/>
      <c r="I23" s="2" t="n"/>
      <c r="J23" s="2" t="n"/>
      <c r="K23" s="2" t="n"/>
      <c r="L23" s="2" t="n"/>
      <c r="M23" s="2" t="n"/>
      <c r="N23" s="2" t="n"/>
      <c r="O23" s="4">
        <f>IF(Table2[[#This Row],[Trade Direction]]="Short",Table2[[#This Row],[Target Entry]]-Table2[[#This Row],[Target Price]],Table2[[#This Row],[Target Price]]-Table2[[#This Row],[Target Entry]])*Table2[[#This Row],[Intended Position]]</f>
        <v/>
      </c>
      <c r="P23" s="4">
        <f>IF(Table2[[#This Row],[Trade Direction]]="Short",Table2[[#This Row],[Target Entry]]-Table2[[#This Row],[Stop]],Table2[[#This Row],[Stop]]-Table2[[#This Row],[Target Entry]])*Table2[[#This Row],[Intended Position]]</f>
        <v/>
      </c>
      <c r="Q23" s="2" t="n"/>
      <c r="R23" s="2" t="n"/>
      <c r="S23" s="2" t="n"/>
      <c r="T23" s="2" t="n"/>
      <c r="U23" s="15" t="n"/>
    </row>
    <row r="24">
      <c r="A24" s="5" t="n"/>
      <c r="B24" s="3" t="n"/>
      <c r="C24" s="4" t="n"/>
      <c r="D24" s="4" t="n"/>
      <c r="E24" s="4" t="n"/>
      <c r="F24" s="4" t="n"/>
      <c r="G24" s="29">
        <f>(Table2[[#This Row],[Target Price]]-Table2[[#This Row],[Target Entry]])/(Table2[[#This Row],[Target Entry]]-Table2[[#This Row],[Stop]])</f>
        <v/>
      </c>
      <c r="H24" s="2" t="n"/>
      <c r="I24" s="2" t="n"/>
      <c r="J24" s="2" t="n"/>
      <c r="K24" s="2" t="n"/>
      <c r="L24" s="2" t="n"/>
      <c r="M24" s="2" t="n"/>
      <c r="N24" s="2" t="n"/>
      <c r="O24" s="4">
        <f>IF(Table2[[#This Row],[Trade Direction]]="Short",Table2[[#This Row],[Target Entry]]-Table2[[#This Row],[Target Price]],Table2[[#This Row],[Target Price]]-Table2[[#This Row],[Target Entry]])*Table2[[#This Row],[Intended Position]]</f>
        <v/>
      </c>
      <c r="P24" s="4">
        <f>IF(Table2[[#This Row],[Trade Direction]]="Short",Table2[[#This Row],[Target Entry]]-Table2[[#This Row],[Stop]],Table2[[#This Row],[Stop]]-Table2[[#This Row],[Target Entry]])*Table2[[#This Row],[Intended Position]]</f>
        <v/>
      </c>
      <c r="Q24" s="2" t="n"/>
      <c r="R24" s="2" t="n"/>
      <c r="S24" s="2" t="n"/>
      <c r="T24" s="2" t="n"/>
      <c r="U24" s="15" t="n"/>
    </row>
    <row r="25">
      <c r="A25" s="5" t="n"/>
      <c r="B25" s="3" t="n"/>
      <c r="C25" s="4" t="n"/>
      <c r="D25" s="4" t="n"/>
      <c r="E25" s="4" t="n"/>
      <c r="F25" s="4" t="n"/>
      <c r="G25" s="29">
        <f>(Table2[[#This Row],[Target Price]]-Table2[[#This Row],[Target Entry]])/(Table2[[#This Row],[Target Entry]]-Table2[[#This Row],[Stop]])</f>
        <v/>
      </c>
      <c r="H25" s="2" t="n"/>
      <c r="I25" s="2" t="n"/>
      <c r="J25" s="2" t="n"/>
      <c r="K25" s="2" t="n"/>
      <c r="L25" s="2" t="n"/>
      <c r="M25" s="2" t="n"/>
      <c r="N25" s="2" t="n"/>
      <c r="O25" s="4">
        <f>IF(Table2[[#This Row],[Trade Direction]]="Short",Table2[[#This Row],[Target Entry]]-Table2[[#This Row],[Target Price]],Table2[[#This Row],[Target Price]]-Table2[[#This Row],[Target Entry]])*Table2[[#This Row],[Intended Position]]</f>
        <v/>
      </c>
      <c r="P25" s="4">
        <f>IF(Table2[[#This Row],[Trade Direction]]="Short",Table2[[#This Row],[Target Entry]]-Table2[[#This Row],[Stop]],Table2[[#This Row],[Stop]]-Table2[[#This Row],[Target Entry]])*Table2[[#This Row],[Intended Position]]</f>
        <v/>
      </c>
      <c r="Q25" s="2" t="n"/>
      <c r="R25" s="2" t="n"/>
      <c r="S25" s="2" t="n"/>
      <c r="T25" s="2" t="n"/>
      <c r="U25" s="15" t="n"/>
    </row>
    <row r="26">
      <c r="A26" s="5" t="n"/>
      <c r="B26" s="3" t="n"/>
      <c r="C26" s="4" t="n"/>
      <c r="D26" s="4" t="n"/>
      <c r="E26" s="4" t="n"/>
      <c r="F26" s="4" t="n"/>
      <c r="G26" s="29">
        <f>(Table2[[#This Row],[Target Price]]-Table2[[#This Row],[Target Entry]])/(Table2[[#This Row],[Target Entry]]-Table2[[#This Row],[Stop]])</f>
        <v/>
      </c>
      <c r="H26" s="2" t="n"/>
      <c r="I26" s="2" t="n"/>
      <c r="J26" s="2" t="n"/>
      <c r="K26" s="2" t="n"/>
      <c r="L26" s="2" t="n"/>
      <c r="M26" s="2" t="n"/>
      <c r="N26" s="2" t="n"/>
      <c r="O26" s="4">
        <f>IF(Table2[[#This Row],[Trade Direction]]="Short",Table2[[#This Row],[Target Entry]]-Table2[[#This Row],[Target Price]],Table2[[#This Row],[Target Price]]-Table2[[#This Row],[Target Entry]])*Table2[[#This Row],[Intended Position]]</f>
        <v/>
      </c>
      <c r="P26" s="4">
        <f>IF(Table2[[#This Row],[Trade Direction]]="Short",Table2[[#This Row],[Target Entry]]-Table2[[#This Row],[Stop]],Table2[[#This Row],[Stop]]-Table2[[#This Row],[Target Entry]])*Table2[[#This Row],[Intended Position]]</f>
        <v/>
      </c>
      <c r="Q26" s="2" t="n"/>
      <c r="R26" s="2" t="n"/>
      <c r="S26" s="2" t="n"/>
      <c r="T26" s="2" t="n"/>
      <c r="U26" s="15" t="n"/>
    </row>
    <row r="27">
      <c r="A27" s="5" t="n"/>
      <c r="B27" s="3" t="n"/>
      <c r="C27" s="4" t="n"/>
      <c r="D27" s="4" t="n"/>
      <c r="E27" s="4" t="n"/>
      <c r="F27" s="4" t="n"/>
      <c r="G27" s="29">
        <f>(Table2[[#This Row],[Target Price]]-Table2[[#This Row],[Target Entry]])/(Table2[[#This Row],[Target Entry]]-Table2[[#This Row],[Stop]])</f>
        <v/>
      </c>
      <c r="H27" s="2" t="n"/>
      <c r="I27" s="2" t="n"/>
      <c r="J27" s="2" t="n"/>
      <c r="K27" s="2" t="n"/>
      <c r="L27" s="2" t="n"/>
      <c r="M27" s="2" t="n"/>
      <c r="N27" s="2" t="n"/>
      <c r="O27" s="4">
        <f>IF(Table2[[#This Row],[Trade Direction]]="Short",Table2[[#This Row],[Target Entry]]-Table2[[#This Row],[Target Price]],Table2[[#This Row],[Target Price]]-Table2[[#This Row],[Target Entry]])*Table2[[#This Row],[Intended Position]]</f>
        <v/>
      </c>
      <c r="P27" s="4">
        <f>IF(Table2[[#This Row],[Trade Direction]]="Short",Table2[[#This Row],[Target Entry]]-Table2[[#This Row],[Stop]],Table2[[#This Row],[Stop]]-Table2[[#This Row],[Target Entry]])*Table2[[#This Row],[Intended Position]]</f>
        <v/>
      </c>
      <c r="Q27" s="2" t="n"/>
      <c r="R27" s="2" t="n"/>
      <c r="S27" s="2" t="n"/>
      <c r="T27" s="2" t="n"/>
      <c r="U27" s="15" t="n"/>
    </row>
    <row r="28">
      <c r="A28" s="5" t="n"/>
      <c r="B28" s="3" t="n"/>
      <c r="C28" s="4" t="n"/>
      <c r="D28" s="4" t="n"/>
      <c r="E28" s="4" t="n"/>
      <c r="F28" s="4" t="n"/>
      <c r="G28" s="29">
        <f>(Table2[[#This Row],[Target Price]]-Table2[[#This Row],[Target Entry]])/(Table2[[#This Row],[Target Entry]]-Table2[[#This Row],[Stop]])</f>
        <v/>
      </c>
      <c r="H28" s="2" t="n"/>
      <c r="I28" s="2" t="n"/>
      <c r="J28" s="2" t="n"/>
      <c r="K28" s="2" t="n"/>
      <c r="L28" s="2" t="n"/>
      <c r="M28" s="2" t="n"/>
      <c r="N28" s="2" t="n"/>
      <c r="O28" s="4">
        <f>IF(Table2[[#This Row],[Trade Direction]]="Short",Table2[[#This Row],[Target Entry]]-Table2[[#This Row],[Target Price]],Table2[[#This Row],[Target Price]]-Table2[[#This Row],[Target Entry]])*Table2[[#This Row],[Intended Position]]</f>
        <v/>
      </c>
      <c r="P28" s="4">
        <f>IF(Table2[[#This Row],[Trade Direction]]="Short",Table2[[#This Row],[Target Entry]]-Table2[[#This Row],[Stop]],Table2[[#This Row],[Stop]]-Table2[[#This Row],[Target Entry]])*Table2[[#This Row],[Intended Position]]</f>
        <v/>
      </c>
      <c r="Q28" s="2" t="n"/>
      <c r="R28" s="2" t="n"/>
      <c r="S28" s="2" t="n"/>
      <c r="T28" s="2" t="n"/>
      <c r="U28" s="15" t="n"/>
    </row>
    <row r="29">
      <c r="A29" s="5" t="n"/>
      <c r="B29" s="3" t="n"/>
      <c r="C29" s="4" t="n"/>
      <c r="D29" s="4" t="n"/>
      <c r="E29" s="4" t="n"/>
      <c r="F29" s="4" t="n"/>
      <c r="G29" s="29">
        <f>(Table2[[#This Row],[Target Price]]-Table2[[#This Row],[Target Entry]])/(Table2[[#This Row],[Target Entry]]-Table2[[#This Row],[Stop]])</f>
        <v/>
      </c>
      <c r="H29" s="2" t="n"/>
      <c r="I29" s="2" t="n"/>
      <c r="J29" s="2" t="n"/>
      <c r="K29" s="2" t="n"/>
      <c r="L29" s="2" t="n"/>
      <c r="M29" s="2" t="n"/>
      <c r="N29" s="2" t="n"/>
      <c r="O29" s="4">
        <f>IF(Table2[[#This Row],[Trade Direction]]="Short",Table2[[#This Row],[Target Entry]]-Table2[[#This Row],[Target Price]],Table2[[#This Row],[Target Price]]-Table2[[#This Row],[Target Entry]])*Table2[[#This Row],[Intended Position]]</f>
        <v/>
      </c>
      <c r="P29" s="4">
        <f>IF(Table2[[#This Row],[Trade Direction]]="Short",Table2[[#This Row],[Target Entry]]-Table2[[#This Row],[Stop]],Table2[[#This Row],[Stop]]-Table2[[#This Row],[Target Entry]])*Table2[[#This Row],[Intended Position]]</f>
        <v/>
      </c>
      <c r="Q29" s="2" t="n"/>
      <c r="R29" s="2" t="n"/>
      <c r="S29" s="2" t="n"/>
      <c r="T29" s="2" t="n"/>
      <c r="U29" s="15" t="n"/>
    </row>
    <row r="30">
      <c r="A30" s="5" t="n"/>
      <c r="B30" s="3" t="n"/>
      <c r="C30" s="4" t="n"/>
      <c r="D30" s="4" t="n"/>
      <c r="E30" s="4" t="n"/>
      <c r="F30" s="4" t="n"/>
      <c r="G30" s="29">
        <f>(Table2[[#This Row],[Target Price]]-Table2[[#This Row],[Target Entry]])/(Table2[[#This Row],[Target Entry]]-Table2[[#This Row],[Stop]])</f>
        <v/>
      </c>
      <c r="H30" s="2" t="n"/>
      <c r="I30" s="2" t="n"/>
      <c r="J30" s="2" t="n"/>
      <c r="K30" s="2" t="n"/>
      <c r="L30" s="2" t="n"/>
      <c r="M30" s="2" t="n"/>
      <c r="N30" s="2" t="n"/>
      <c r="O30" s="4">
        <f>IF(Table2[[#This Row],[Trade Direction]]="Short",Table2[[#This Row],[Target Entry]]-Table2[[#This Row],[Target Price]],Table2[[#This Row],[Target Price]]-Table2[[#This Row],[Target Entry]])*Table2[[#This Row],[Intended Position]]</f>
        <v/>
      </c>
      <c r="P30" s="4">
        <f>IF(Table2[[#This Row],[Trade Direction]]="Short",Table2[[#This Row],[Target Entry]]-Table2[[#This Row],[Stop]],Table2[[#This Row],[Stop]]-Table2[[#This Row],[Target Entry]])*Table2[[#This Row],[Intended Position]]</f>
        <v/>
      </c>
      <c r="Q30" s="2" t="n"/>
      <c r="R30" s="2" t="n"/>
      <c r="S30" s="2" t="n"/>
      <c r="T30" s="2" t="n"/>
      <c r="U30" s="15" t="n"/>
    </row>
    <row r="31">
      <c r="A31" s="5" t="n"/>
      <c r="B31" s="3" t="n"/>
      <c r="C31" s="4" t="n"/>
      <c r="D31" s="4" t="n"/>
      <c r="E31" s="4" t="n"/>
      <c r="F31" s="4" t="n"/>
      <c r="G31" s="29">
        <f>(Table2[[#This Row],[Target Price]]-Table2[[#This Row],[Target Entry]])/(Table2[[#This Row],[Target Entry]]-Table2[[#This Row],[Stop]])</f>
        <v/>
      </c>
      <c r="H31" s="2" t="n"/>
      <c r="I31" s="2" t="n"/>
      <c r="J31" s="2" t="n"/>
      <c r="K31" s="2" t="n"/>
      <c r="L31" s="2" t="n"/>
      <c r="M31" s="2" t="n"/>
      <c r="N31" s="2" t="n"/>
      <c r="O31" s="4">
        <f>IF(Table2[[#This Row],[Trade Direction]]="Short",Table2[[#This Row],[Target Entry]]-Table2[[#This Row],[Target Price]],Table2[[#This Row],[Target Price]]-Table2[[#This Row],[Target Entry]])*Table2[[#This Row],[Intended Position]]</f>
        <v/>
      </c>
      <c r="P31" s="4">
        <f>IF(Table2[[#This Row],[Trade Direction]]="Short",Table2[[#This Row],[Target Entry]]-Table2[[#This Row],[Stop]],Table2[[#This Row],[Stop]]-Table2[[#This Row],[Target Entry]])*Table2[[#This Row],[Intended Position]]</f>
        <v/>
      </c>
      <c r="Q31" s="2" t="n"/>
      <c r="R31" s="2" t="n"/>
      <c r="S31" s="2" t="n"/>
      <c r="T31" s="2" t="n"/>
      <c r="U31" s="15" t="n"/>
    </row>
    <row r="32">
      <c r="A32" s="5" t="n"/>
      <c r="B32" s="3" t="n"/>
      <c r="C32" s="4" t="n"/>
      <c r="D32" s="4" t="n"/>
      <c r="E32" s="4" t="n"/>
      <c r="F32" s="4" t="n"/>
      <c r="G32" s="29">
        <f>(Table2[[#This Row],[Target Price]]-Table2[[#This Row],[Target Entry]])/(Table2[[#This Row],[Target Entry]]-Table2[[#This Row],[Stop]])</f>
        <v/>
      </c>
      <c r="H32" s="2" t="n"/>
      <c r="I32" s="2" t="n"/>
      <c r="J32" s="2" t="n"/>
      <c r="K32" s="2" t="n"/>
      <c r="L32" s="2" t="n"/>
      <c r="M32" s="2" t="n"/>
      <c r="N32" s="2" t="n"/>
      <c r="O32" s="4">
        <f>IF(Table2[[#This Row],[Trade Direction]]="Short",Table2[[#This Row],[Target Entry]]-Table2[[#This Row],[Target Price]],Table2[[#This Row],[Target Price]]-Table2[[#This Row],[Target Entry]])*Table2[[#This Row],[Intended Position]]</f>
        <v/>
      </c>
      <c r="P32" s="4">
        <f>IF(Table2[[#This Row],[Trade Direction]]="Short",Table2[[#This Row],[Target Entry]]-Table2[[#This Row],[Stop]],Table2[[#This Row],[Stop]]-Table2[[#This Row],[Target Entry]])*Table2[[#This Row],[Intended Position]]</f>
        <v/>
      </c>
      <c r="Q32" s="2" t="n"/>
      <c r="R32" s="2" t="n"/>
      <c r="S32" s="2" t="n"/>
      <c r="T32" s="2" t="n"/>
      <c r="U32" s="15" t="n"/>
    </row>
    <row r="33">
      <c r="A33" s="5" t="n"/>
      <c r="B33" s="3" t="n"/>
      <c r="C33" s="4" t="n"/>
      <c r="D33" s="4" t="n"/>
      <c r="E33" s="4" t="n"/>
      <c r="F33" s="4" t="n"/>
      <c r="G33" s="29">
        <f>(Table2[[#This Row],[Target Price]]-Table2[[#This Row],[Target Entry]])/(Table2[[#This Row],[Target Entry]]-Table2[[#This Row],[Stop]])</f>
        <v/>
      </c>
      <c r="H33" s="2" t="n"/>
      <c r="I33" s="2" t="n"/>
      <c r="J33" s="2" t="n"/>
      <c r="K33" s="2" t="n"/>
      <c r="L33" s="2" t="n"/>
      <c r="M33" s="2" t="n"/>
      <c r="N33" s="2" t="n"/>
      <c r="O33" s="4">
        <f>IF(Table2[[#This Row],[Trade Direction]]="Short",Table2[[#This Row],[Target Entry]]-Table2[[#This Row],[Target Price]],Table2[[#This Row],[Target Price]]-Table2[[#This Row],[Target Entry]])*Table2[[#This Row],[Intended Position]]</f>
        <v/>
      </c>
      <c r="P33" s="4">
        <f>IF(Table2[[#This Row],[Trade Direction]]="Short",Table2[[#This Row],[Target Entry]]-Table2[[#This Row],[Stop]],Table2[[#This Row],[Stop]]-Table2[[#This Row],[Target Entry]])*Table2[[#This Row],[Intended Position]]</f>
        <v/>
      </c>
      <c r="Q33" s="2" t="n"/>
      <c r="R33" s="2" t="n"/>
      <c r="S33" s="2" t="n"/>
      <c r="T33" s="2" t="n"/>
      <c r="U33" s="15" t="n"/>
    </row>
    <row r="34">
      <c r="A34" s="5" t="n"/>
      <c r="B34" s="3" t="n"/>
      <c r="C34" s="4" t="n"/>
      <c r="D34" s="4" t="n"/>
      <c r="E34" s="4" t="n"/>
      <c r="F34" s="4" t="n"/>
      <c r="G34" s="29">
        <f>(Table2[[#This Row],[Target Price]]-Table2[[#This Row],[Target Entry]])/(Table2[[#This Row],[Target Entry]]-Table2[[#This Row],[Stop]])</f>
        <v/>
      </c>
      <c r="H34" s="2" t="n"/>
      <c r="I34" s="2" t="n"/>
      <c r="J34" s="2" t="n"/>
      <c r="K34" s="2" t="n"/>
      <c r="L34" s="2" t="n"/>
      <c r="M34" s="2" t="n"/>
      <c r="N34" s="2" t="n"/>
      <c r="O34" s="4">
        <f>IF(Table2[[#This Row],[Trade Direction]]="Short",Table2[[#This Row],[Target Entry]]-Table2[[#This Row],[Target Price]],Table2[[#This Row],[Target Price]]-Table2[[#This Row],[Target Entry]])*Table2[[#This Row],[Intended Position]]</f>
        <v/>
      </c>
      <c r="P34" s="4">
        <f>IF(Table2[[#This Row],[Trade Direction]]="Short",Table2[[#This Row],[Target Entry]]-Table2[[#This Row],[Stop]],Table2[[#This Row],[Stop]]-Table2[[#This Row],[Target Entry]])*Table2[[#This Row],[Intended Position]]</f>
        <v/>
      </c>
      <c r="Q34" s="2" t="n"/>
      <c r="R34" s="2" t="n"/>
      <c r="S34" s="2" t="n"/>
      <c r="T34" s="2" t="n"/>
      <c r="U34" s="15" t="n"/>
    </row>
    <row r="35">
      <c r="A35" s="5" t="n"/>
      <c r="B35" s="3" t="n"/>
      <c r="C35" s="4" t="n"/>
      <c r="D35" s="4" t="n"/>
      <c r="E35" s="4" t="n"/>
      <c r="F35" s="4" t="n"/>
      <c r="G35" s="29">
        <f>(Table2[[#This Row],[Target Price]]-Table2[[#This Row],[Target Entry]])/(Table2[[#This Row],[Target Entry]]-Table2[[#This Row],[Stop]])</f>
        <v/>
      </c>
      <c r="H35" s="2" t="n"/>
      <c r="I35" s="2" t="n"/>
      <c r="J35" s="2" t="n"/>
      <c r="K35" s="2" t="n"/>
      <c r="L35" s="2" t="n"/>
      <c r="M35" s="2" t="n"/>
      <c r="N35" s="2" t="n"/>
      <c r="O35" s="4">
        <f>IF(Table2[[#This Row],[Trade Direction]]="Short",Table2[[#This Row],[Target Entry]]-Table2[[#This Row],[Target Price]],Table2[[#This Row],[Target Price]]-Table2[[#This Row],[Target Entry]])*Table2[[#This Row],[Intended Position]]</f>
        <v/>
      </c>
      <c r="P35" s="4">
        <f>IF(Table2[[#This Row],[Trade Direction]]="Short",Table2[[#This Row],[Target Entry]]-Table2[[#This Row],[Stop]],Table2[[#This Row],[Stop]]-Table2[[#This Row],[Target Entry]])*Table2[[#This Row],[Intended Position]]</f>
        <v/>
      </c>
      <c r="Q35" s="2" t="n"/>
      <c r="R35" s="2" t="n"/>
      <c r="S35" s="2" t="n"/>
      <c r="T35" s="2" t="n"/>
      <c r="U35" s="15" t="n"/>
    </row>
    <row r="36">
      <c r="A36" s="5" t="n"/>
      <c r="B36" s="3" t="n"/>
      <c r="C36" s="4" t="n"/>
      <c r="D36" s="4" t="n"/>
      <c r="E36" s="4" t="n"/>
      <c r="F36" s="4" t="n"/>
      <c r="G36" s="29">
        <f>(Table2[[#This Row],[Target Price]]-Table2[[#This Row],[Target Entry]])/(Table2[[#This Row],[Target Entry]]-Table2[[#This Row],[Stop]])</f>
        <v/>
      </c>
      <c r="H36" s="2" t="n"/>
      <c r="I36" s="2" t="n"/>
      <c r="J36" s="2" t="n"/>
      <c r="K36" s="2" t="n"/>
      <c r="L36" s="2" t="n"/>
      <c r="M36" s="2" t="n"/>
      <c r="N36" s="2" t="n"/>
      <c r="O36" s="4">
        <f>IF(Table2[[#This Row],[Trade Direction]]="Short",Table2[[#This Row],[Target Entry]]-Table2[[#This Row],[Target Price]],Table2[[#This Row],[Target Price]]-Table2[[#This Row],[Target Entry]])*Table2[[#This Row],[Intended Position]]</f>
        <v/>
      </c>
      <c r="P36" s="4">
        <f>IF(Table2[[#This Row],[Trade Direction]]="Short",Table2[[#This Row],[Target Entry]]-Table2[[#This Row],[Stop]],Table2[[#This Row],[Stop]]-Table2[[#This Row],[Target Entry]])*Table2[[#This Row],[Intended Position]]</f>
        <v/>
      </c>
      <c r="Q36" s="2" t="n"/>
      <c r="R36" s="2" t="n"/>
      <c r="S36" s="2" t="n"/>
      <c r="T36" s="2" t="n"/>
      <c r="U36" s="15" t="n"/>
    </row>
    <row r="37">
      <c r="A37" s="5" t="n"/>
      <c r="B37" s="3" t="n"/>
      <c r="C37" s="4" t="n"/>
      <c r="D37" s="4" t="n"/>
      <c r="E37" s="4" t="n"/>
      <c r="F37" s="4" t="n"/>
      <c r="G37" s="29">
        <f>(Table2[[#This Row],[Target Price]]-Table2[[#This Row],[Target Entry]])/(Table2[[#This Row],[Target Entry]]-Table2[[#This Row],[Stop]])</f>
        <v/>
      </c>
      <c r="H37" s="2" t="n"/>
      <c r="I37" s="2" t="n"/>
      <c r="J37" s="2" t="n"/>
      <c r="K37" s="2" t="n"/>
      <c r="L37" s="2" t="n"/>
      <c r="M37" s="2" t="n"/>
      <c r="N37" s="2" t="n"/>
      <c r="O37" s="4">
        <f>IF(Table2[[#This Row],[Trade Direction]]="Short",Table2[[#This Row],[Target Entry]]-Table2[[#This Row],[Target Price]],Table2[[#This Row],[Target Price]]-Table2[[#This Row],[Target Entry]])*Table2[[#This Row],[Intended Position]]</f>
        <v/>
      </c>
      <c r="P37" s="4">
        <f>IF(Table2[[#This Row],[Trade Direction]]="Short",Table2[[#This Row],[Target Entry]]-Table2[[#This Row],[Stop]],Table2[[#This Row],[Stop]]-Table2[[#This Row],[Target Entry]])*Table2[[#This Row],[Intended Position]]</f>
        <v/>
      </c>
      <c r="Q37" s="2" t="n"/>
      <c r="R37" s="2" t="n"/>
      <c r="S37" s="2" t="n"/>
      <c r="T37" s="2" t="n"/>
      <c r="U37" s="15" t="n"/>
    </row>
    <row r="38">
      <c r="A38" s="5" t="n"/>
      <c r="B38" s="3" t="n"/>
      <c r="C38" s="4" t="n"/>
      <c r="D38" s="4" t="n"/>
      <c r="E38" s="4" t="n"/>
      <c r="F38" s="4" t="n"/>
      <c r="G38" s="29">
        <f>(Table2[[#This Row],[Target Price]]-Table2[[#This Row],[Target Entry]])/(Table2[[#This Row],[Target Entry]]-Table2[[#This Row],[Stop]])</f>
        <v/>
      </c>
      <c r="H38" s="2" t="n"/>
      <c r="I38" s="2" t="n"/>
      <c r="J38" s="2" t="n"/>
      <c r="K38" s="2" t="n"/>
      <c r="L38" s="2" t="n"/>
      <c r="M38" s="2" t="n"/>
      <c r="N38" s="2" t="n"/>
      <c r="O38" s="4">
        <f>IF(Table2[[#This Row],[Trade Direction]]="Short",Table2[[#This Row],[Target Entry]]-Table2[[#This Row],[Target Price]],Table2[[#This Row],[Target Price]]-Table2[[#This Row],[Target Entry]])*Table2[[#This Row],[Intended Position]]</f>
        <v/>
      </c>
      <c r="P38" s="4">
        <f>IF(Table2[[#This Row],[Trade Direction]]="Short",Table2[[#This Row],[Target Entry]]-Table2[[#This Row],[Stop]],Table2[[#This Row],[Stop]]-Table2[[#This Row],[Target Entry]])*Table2[[#This Row],[Intended Position]]</f>
        <v/>
      </c>
      <c r="Q38" s="2" t="n"/>
      <c r="R38" s="2" t="n"/>
      <c r="S38" s="2" t="n"/>
      <c r="T38" s="2" t="n"/>
      <c r="U38" s="15" t="n"/>
    </row>
    <row r="39">
      <c r="A39" s="5" t="n"/>
      <c r="B39" s="3" t="n"/>
      <c r="C39" s="4" t="n"/>
      <c r="D39" s="4" t="n"/>
      <c r="E39" s="4" t="n"/>
      <c r="F39" s="4" t="n"/>
      <c r="G39" s="29">
        <f>(Table2[[#This Row],[Target Price]]-Table2[[#This Row],[Target Entry]])/(Table2[[#This Row],[Target Entry]]-Table2[[#This Row],[Stop]])</f>
        <v/>
      </c>
      <c r="H39" s="2" t="n"/>
      <c r="I39" s="2" t="n"/>
      <c r="J39" s="2" t="n"/>
      <c r="K39" s="2" t="n"/>
      <c r="L39" s="2" t="n"/>
      <c r="M39" s="2" t="n"/>
      <c r="N39" s="2" t="n"/>
      <c r="O39" s="4">
        <f>IF(Table2[[#This Row],[Trade Direction]]="Short",Table2[[#This Row],[Target Entry]]-Table2[[#This Row],[Target Price]],Table2[[#This Row],[Target Price]]-Table2[[#This Row],[Target Entry]])*Table2[[#This Row],[Intended Position]]</f>
        <v/>
      </c>
      <c r="P39" s="4">
        <f>IF(Table2[[#This Row],[Trade Direction]]="Short",Table2[[#This Row],[Target Entry]]-Table2[[#This Row],[Stop]],Table2[[#This Row],[Stop]]-Table2[[#This Row],[Target Entry]])*Table2[[#This Row],[Intended Position]]</f>
        <v/>
      </c>
      <c r="Q39" s="2" t="n"/>
      <c r="R39" s="2" t="n"/>
      <c r="S39" s="2" t="n"/>
      <c r="T39" s="2" t="n"/>
      <c r="U39" s="15" t="n"/>
    </row>
    <row r="40">
      <c r="A40" s="5" t="n"/>
      <c r="B40" s="3" t="n"/>
      <c r="C40" s="4" t="n"/>
      <c r="D40" s="4" t="n"/>
      <c r="E40" s="4" t="n"/>
      <c r="F40" s="4" t="n"/>
      <c r="G40" s="29">
        <f>(Table2[[#This Row],[Target Price]]-Table2[[#This Row],[Target Entry]])/(Table2[[#This Row],[Target Entry]]-Table2[[#This Row],[Stop]])</f>
        <v/>
      </c>
      <c r="H40" s="2" t="n"/>
      <c r="I40" s="2" t="n"/>
      <c r="J40" s="2" t="n"/>
      <c r="K40" s="2" t="n"/>
      <c r="L40" s="2" t="n"/>
      <c r="M40" s="2" t="n"/>
      <c r="N40" s="2" t="n"/>
      <c r="O40" s="4">
        <f>IF(Table2[[#This Row],[Trade Direction]]="Short",Table2[[#This Row],[Target Entry]]-Table2[[#This Row],[Target Price]],Table2[[#This Row],[Target Price]]-Table2[[#This Row],[Target Entry]])*Table2[[#This Row],[Intended Position]]</f>
        <v/>
      </c>
      <c r="P40" s="4">
        <f>IF(Table2[[#This Row],[Trade Direction]]="Short",Table2[[#This Row],[Target Entry]]-Table2[[#This Row],[Stop]],Table2[[#This Row],[Stop]]-Table2[[#This Row],[Target Entry]])*Table2[[#This Row],[Intended Position]]</f>
        <v/>
      </c>
      <c r="Q40" s="2" t="n"/>
      <c r="R40" s="2" t="n"/>
      <c r="S40" s="2" t="n"/>
      <c r="T40" s="2" t="n"/>
      <c r="U40" s="15" t="n"/>
    </row>
    <row r="41">
      <c r="A41" s="5" t="n"/>
      <c r="B41" s="3" t="n"/>
      <c r="C41" s="4" t="n"/>
      <c r="D41" s="4" t="n"/>
      <c r="E41" s="4" t="n"/>
      <c r="F41" s="4" t="n"/>
      <c r="G41" s="29">
        <f>(Table2[[#This Row],[Target Price]]-Table2[[#This Row],[Target Entry]])/(Table2[[#This Row],[Target Entry]]-Table2[[#This Row],[Stop]])</f>
        <v/>
      </c>
      <c r="H41" s="2" t="n"/>
      <c r="I41" s="2" t="n"/>
      <c r="J41" s="2" t="n"/>
      <c r="K41" s="2" t="n"/>
      <c r="L41" s="2" t="n"/>
      <c r="M41" s="2" t="n"/>
      <c r="N41" s="2" t="n"/>
      <c r="O41" s="4">
        <f>IF(Table2[[#This Row],[Trade Direction]]="Short",Table2[[#This Row],[Target Entry]]-Table2[[#This Row],[Target Price]],Table2[[#This Row],[Target Price]]-Table2[[#This Row],[Target Entry]])*Table2[[#This Row],[Intended Position]]</f>
        <v/>
      </c>
      <c r="P41" s="4">
        <f>IF(Table2[[#This Row],[Trade Direction]]="Short",Table2[[#This Row],[Target Entry]]-Table2[[#This Row],[Stop]],Table2[[#This Row],[Stop]]-Table2[[#This Row],[Target Entry]])*Table2[[#This Row],[Intended Position]]</f>
        <v/>
      </c>
      <c r="Q41" s="2" t="n"/>
      <c r="R41" s="2" t="n"/>
      <c r="S41" s="2" t="n"/>
      <c r="T41" s="2" t="n"/>
      <c r="U41" s="15" t="n"/>
    </row>
    <row r="42">
      <c r="A42" s="5" t="n"/>
      <c r="B42" s="3" t="n"/>
      <c r="C42" s="4" t="n"/>
      <c r="D42" s="4" t="n"/>
      <c r="E42" s="4" t="n"/>
      <c r="F42" s="4" t="n"/>
      <c r="G42" s="29">
        <f>(Table2[[#This Row],[Target Price]]-Table2[[#This Row],[Target Entry]])/(Table2[[#This Row],[Target Entry]]-Table2[[#This Row],[Stop]])</f>
        <v/>
      </c>
      <c r="H42" s="2" t="n"/>
      <c r="I42" s="2" t="n"/>
      <c r="J42" s="2" t="n"/>
      <c r="K42" s="2" t="n"/>
      <c r="L42" s="2" t="n"/>
      <c r="M42" s="2" t="n"/>
      <c r="N42" s="2" t="n"/>
      <c r="O42" s="4">
        <f>IF(Table2[[#This Row],[Trade Direction]]="Short",Table2[[#This Row],[Target Entry]]-Table2[[#This Row],[Target Price]],Table2[[#This Row],[Target Price]]-Table2[[#This Row],[Target Entry]])*Table2[[#This Row],[Intended Position]]</f>
        <v/>
      </c>
      <c r="P42" s="4">
        <f>IF(Table2[[#This Row],[Trade Direction]]="Short",Table2[[#This Row],[Target Entry]]-Table2[[#This Row],[Stop]],Table2[[#This Row],[Stop]]-Table2[[#This Row],[Target Entry]])*Table2[[#This Row],[Intended Position]]</f>
        <v/>
      </c>
      <c r="Q42" s="2" t="n"/>
      <c r="R42" s="2" t="n"/>
      <c r="S42" s="2" t="n"/>
      <c r="T42" s="2" t="n"/>
      <c r="U42" s="15" t="n"/>
    </row>
    <row r="43">
      <c r="A43" s="5" t="n"/>
      <c r="B43" s="3" t="n"/>
      <c r="C43" s="4" t="n"/>
      <c r="D43" s="4" t="n"/>
      <c r="E43" s="4" t="n"/>
      <c r="F43" s="4" t="n"/>
      <c r="G43" s="29">
        <f>(Table2[[#This Row],[Target Price]]-Table2[[#This Row],[Target Entry]])/(Table2[[#This Row],[Target Entry]]-Table2[[#This Row],[Stop]])</f>
        <v/>
      </c>
      <c r="H43" s="2" t="n"/>
      <c r="I43" s="2" t="n"/>
      <c r="J43" s="2" t="n"/>
      <c r="K43" s="2" t="n"/>
      <c r="L43" s="2" t="n"/>
      <c r="M43" s="2" t="n"/>
      <c r="N43" s="2" t="n"/>
      <c r="O43" s="4">
        <f>IF(Table2[[#This Row],[Trade Direction]]="Short",Table2[[#This Row],[Target Entry]]-Table2[[#This Row],[Target Price]],Table2[[#This Row],[Target Price]]-Table2[[#This Row],[Target Entry]])*Table2[[#This Row],[Intended Position]]</f>
        <v/>
      </c>
      <c r="P43" s="4">
        <f>IF(Table2[[#This Row],[Trade Direction]]="Short",Table2[[#This Row],[Target Entry]]-Table2[[#This Row],[Stop]],Table2[[#This Row],[Stop]]-Table2[[#This Row],[Target Entry]])*Table2[[#This Row],[Intended Position]]</f>
        <v/>
      </c>
      <c r="Q43" s="2" t="n"/>
      <c r="R43" s="2" t="n"/>
      <c r="S43" s="2" t="n"/>
      <c r="T43" s="2" t="n"/>
      <c r="U43" s="15" t="n"/>
    </row>
    <row r="44">
      <c r="A44" s="5" t="n"/>
      <c r="B44" s="3" t="n"/>
      <c r="C44" s="4" t="n"/>
      <c r="D44" s="4" t="n"/>
      <c r="E44" s="4" t="n"/>
      <c r="F44" s="4" t="n"/>
      <c r="G44" s="29">
        <f>(Table2[[#This Row],[Target Price]]-Table2[[#This Row],[Target Entry]])/(Table2[[#This Row],[Target Entry]]-Table2[[#This Row],[Stop]])</f>
        <v/>
      </c>
      <c r="H44" s="2" t="n"/>
      <c r="I44" s="2" t="n"/>
      <c r="J44" s="2" t="n"/>
      <c r="K44" s="2" t="n"/>
      <c r="L44" s="2" t="n"/>
      <c r="M44" s="2" t="n"/>
      <c r="N44" s="2" t="n"/>
      <c r="O44" s="4">
        <f>IF(Table2[[#This Row],[Trade Direction]]="Short",Table2[[#This Row],[Target Entry]]-Table2[[#This Row],[Target Price]],Table2[[#This Row],[Target Price]]-Table2[[#This Row],[Target Entry]])*Table2[[#This Row],[Intended Position]]</f>
        <v/>
      </c>
      <c r="P44" s="4">
        <f>IF(Table2[[#This Row],[Trade Direction]]="Short",Table2[[#This Row],[Target Entry]]-Table2[[#This Row],[Stop]],Table2[[#This Row],[Stop]]-Table2[[#This Row],[Target Entry]])*Table2[[#This Row],[Intended Position]]</f>
        <v/>
      </c>
      <c r="Q44" s="2" t="n"/>
      <c r="R44" s="2" t="n"/>
      <c r="S44" s="2" t="n"/>
      <c r="T44" s="2" t="n"/>
      <c r="U44" s="15" t="n"/>
    </row>
    <row r="45">
      <c r="A45" s="5" t="n"/>
      <c r="B45" s="3" t="n"/>
      <c r="C45" s="4" t="n"/>
      <c r="D45" s="4" t="n"/>
      <c r="E45" s="4" t="n"/>
      <c r="F45" s="4" t="n"/>
      <c r="G45" s="29">
        <f>(Table2[[#This Row],[Target Price]]-Table2[[#This Row],[Target Entry]])/(Table2[[#This Row],[Target Entry]]-Table2[[#This Row],[Stop]])</f>
        <v/>
      </c>
      <c r="H45" s="2" t="n"/>
      <c r="I45" s="2" t="n"/>
      <c r="J45" s="2" t="n"/>
      <c r="K45" s="2" t="n"/>
      <c r="L45" s="2" t="n"/>
      <c r="M45" s="2" t="n"/>
      <c r="N45" s="2" t="n"/>
      <c r="O45" s="4">
        <f>IF(Table2[[#This Row],[Trade Direction]]="Short",Table2[[#This Row],[Target Entry]]-Table2[[#This Row],[Target Price]],Table2[[#This Row],[Target Price]]-Table2[[#This Row],[Target Entry]])*Table2[[#This Row],[Intended Position]]</f>
        <v/>
      </c>
      <c r="P45" s="4">
        <f>IF(Table2[[#This Row],[Trade Direction]]="Short",Table2[[#This Row],[Target Entry]]-Table2[[#This Row],[Stop]],Table2[[#This Row],[Stop]]-Table2[[#This Row],[Target Entry]])*Table2[[#This Row],[Intended Position]]</f>
        <v/>
      </c>
      <c r="Q45" s="2" t="n"/>
      <c r="R45" s="2" t="n"/>
      <c r="S45" s="2" t="n"/>
      <c r="T45" s="2" t="n"/>
      <c r="U45" s="15" t="n"/>
    </row>
    <row r="46">
      <c r="A46" s="5" t="n"/>
      <c r="B46" s="3" t="n"/>
      <c r="C46" s="4" t="n"/>
      <c r="D46" s="4" t="n"/>
      <c r="E46" s="4" t="n"/>
      <c r="F46" s="4" t="n"/>
      <c r="G46" s="29">
        <f>(Table2[[#This Row],[Target Price]]-Table2[[#This Row],[Target Entry]])/(Table2[[#This Row],[Target Entry]]-Table2[[#This Row],[Stop]])</f>
        <v/>
      </c>
      <c r="H46" s="2" t="n"/>
      <c r="I46" s="2" t="n"/>
      <c r="J46" s="2" t="n"/>
      <c r="K46" s="2" t="n"/>
      <c r="L46" s="2" t="n"/>
      <c r="M46" s="2" t="n"/>
      <c r="N46" s="2" t="n"/>
      <c r="O46" s="4">
        <f>IF(Table2[[#This Row],[Trade Direction]]="Short",Table2[[#This Row],[Target Entry]]-Table2[[#This Row],[Target Price]],Table2[[#This Row],[Target Price]]-Table2[[#This Row],[Target Entry]])*Table2[[#This Row],[Intended Position]]</f>
        <v/>
      </c>
      <c r="P46" s="4">
        <f>IF(Table2[[#This Row],[Trade Direction]]="Short",Table2[[#This Row],[Target Entry]]-Table2[[#This Row],[Stop]],Table2[[#This Row],[Stop]]-Table2[[#This Row],[Target Entry]])*Table2[[#This Row],[Intended Position]]</f>
        <v/>
      </c>
      <c r="Q46" s="2" t="n"/>
      <c r="R46" s="2" t="n"/>
      <c r="S46" s="2" t="n"/>
      <c r="T46" s="2" t="n"/>
      <c r="U46" s="15" t="n"/>
    </row>
    <row r="47">
      <c r="A47" s="5" t="n"/>
      <c r="B47" s="3" t="n"/>
      <c r="C47" s="4" t="n"/>
      <c r="D47" s="4" t="n"/>
      <c r="E47" s="4" t="n"/>
      <c r="F47" s="4" t="n"/>
      <c r="G47" s="29">
        <f>(Table2[[#This Row],[Target Price]]-Table2[[#This Row],[Target Entry]])/(Table2[[#This Row],[Target Entry]]-Table2[[#This Row],[Stop]])</f>
        <v/>
      </c>
      <c r="H47" s="2" t="n"/>
      <c r="I47" s="2" t="n"/>
      <c r="J47" s="2" t="n"/>
      <c r="K47" s="2" t="n"/>
      <c r="L47" s="2" t="n"/>
      <c r="M47" s="2" t="n"/>
      <c r="N47" s="2" t="n"/>
      <c r="O47" s="4">
        <f>IF(Table2[[#This Row],[Trade Direction]]="Short",Table2[[#This Row],[Target Entry]]-Table2[[#This Row],[Target Price]],Table2[[#This Row],[Target Price]]-Table2[[#This Row],[Target Entry]])*Table2[[#This Row],[Intended Position]]</f>
        <v/>
      </c>
      <c r="P47" s="4">
        <f>IF(Table2[[#This Row],[Trade Direction]]="Short",Table2[[#This Row],[Target Entry]]-Table2[[#This Row],[Stop]],Table2[[#This Row],[Stop]]-Table2[[#This Row],[Target Entry]])*Table2[[#This Row],[Intended Position]]</f>
        <v/>
      </c>
      <c r="Q47" s="2" t="n"/>
      <c r="R47" s="2" t="n"/>
      <c r="S47" s="2" t="n"/>
      <c r="T47" s="2" t="n"/>
      <c r="U47" s="15" t="n"/>
    </row>
    <row r="48">
      <c r="A48" s="5" t="n"/>
      <c r="B48" s="3" t="n"/>
      <c r="C48" s="4" t="n"/>
      <c r="D48" s="4" t="n"/>
      <c r="E48" s="4" t="n"/>
      <c r="F48" s="4" t="n"/>
      <c r="G48" s="29">
        <f>(Table2[[#This Row],[Target Price]]-Table2[[#This Row],[Target Entry]])/(Table2[[#This Row],[Target Entry]]-Table2[[#This Row],[Stop]])</f>
        <v/>
      </c>
      <c r="H48" s="2" t="n"/>
      <c r="I48" s="2" t="n"/>
      <c r="J48" s="2" t="n"/>
      <c r="K48" s="2" t="n"/>
      <c r="L48" s="2" t="n"/>
      <c r="M48" s="2" t="n"/>
      <c r="N48" s="2" t="n"/>
      <c r="O48" s="4">
        <f>IF(Table2[[#This Row],[Trade Direction]]="Short",Table2[[#This Row],[Target Entry]]-Table2[[#This Row],[Target Price]],Table2[[#This Row],[Target Price]]-Table2[[#This Row],[Target Entry]])*Table2[[#This Row],[Intended Position]]</f>
        <v/>
      </c>
      <c r="P48" s="4">
        <f>IF(Table2[[#This Row],[Trade Direction]]="Short",Table2[[#This Row],[Target Entry]]-Table2[[#This Row],[Stop]],Table2[[#This Row],[Stop]]-Table2[[#This Row],[Target Entry]])*Table2[[#This Row],[Intended Position]]</f>
        <v/>
      </c>
      <c r="Q48" s="2" t="n"/>
      <c r="R48" s="2" t="n"/>
      <c r="S48" s="2" t="n"/>
      <c r="T48" s="2" t="n"/>
      <c r="U48" s="15" t="n"/>
    </row>
    <row r="49">
      <c r="A49" s="5" t="n"/>
      <c r="B49" s="3" t="n"/>
      <c r="C49" s="4" t="n"/>
      <c r="D49" s="4" t="n"/>
      <c r="E49" s="4" t="n"/>
      <c r="F49" s="4" t="n"/>
      <c r="G49" s="29">
        <f>(Table2[[#This Row],[Target Price]]-Table2[[#This Row],[Target Entry]])/(Table2[[#This Row],[Target Entry]]-Table2[[#This Row],[Stop]])</f>
        <v/>
      </c>
      <c r="H49" s="2" t="n"/>
      <c r="I49" s="2" t="n"/>
      <c r="J49" s="2" t="n"/>
      <c r="K49" s="2" t="n"/>
      <c r="L49" s="2" t="n"/>
      <c r="M49" s="2" t="n"/>
      <c r="N49" s="2" t="n"/>
      <c r="O49" s="4">
        <f>IF(Table2[[#This Row],[Trade Direction]]="Short",Table2[[#This Row],[Target Entry]]-Table2[[#This Row],[Target Price]],Table2[[#This Row],[Target Price]]-Table2[[#This Row],[Target Entry]])*Table2[[#This Row],[Intended Position]]</f>
        <v/>
      </c>
      <c r="P49" s="4">
        <f>IF(Table2[[#This Row],[Trade Direction]]="Short",Table2[[#This Row],[Target Entry]]-Table2[[#This Row],[Stop]],Table2[[#This Row],[Stop]]-Table2[[#This Row],[Target Entry]])*Table2[[#This Row],[Intended Position]]</f>
        <v/>
      </c>
      <c r="Q49" s="2" t="n"/>
      <c r="R49" s="2" t="n"/>
      <c r="S49" s="2" t="n"/>
      <c r="T49" s="2" t="n"/>
      <c r="U49" s="15" t="n"/>
    </row>
    <row r="50">
      <c r="A50" s="5" t="n"/>
      <c r="B50" s="3" t="n"/>
      <c r="C50" s="4" t="n"/>
      <c r="D50" s="4" t="n"/>
      <c r="E50" s="4" t="n"/>
      <c r="F50" s="4" t="n"/>
      <c r="G50" s="29">
        <f>(Table2[[#This Row],[Target Price]]-Table2[[#This Row],[Target Entry]])/(Table2[[#This Row],[Target Entry]]-Table2[[#This Row],[Stop]])</f>
        <v/>
      </c>
      <c r="H50" s="2" t="n"/>
      <c r="I50" s="2" t="n"/>
      <c r="J50" s="2" t="n"/>
      <c r="K50" s="2" t="n"/>
      <c r="L50" s="2" t="n"/>
      <c r="M50" s="2" t="n"/>
      <c r="N50" s="2" t="n"/>
      <c r="O50" s="4">
        <f>IF(Table2[[#This Row],[Trade Direction]]="Short",Table2[[#This Row],[Target Entry]]-Table2[[#This Row],[Target Price]],Table2[[#This Row],[Target Price]]-Table2[[#This Row],[Target Entry]])*Table2[[#This Row],[Intended Position]]</f>
        <v/>
      </c>
      <c r="P50" s="4">
        <f>IF(Table2[[#This Row],[Trade Direction]]="Short",Table2[[#This Row],[Target Entry]]-Table2[[#This Row],[Stop]],Table2[[#This Row],[Stop]]-Table2[[#This Row],[Target Entry]])*Table2[[#This Row],[Intended Position]]</f>
        <v/>
      </c>
      <c r="Q50" s="2" t="n"/>
      <c r="R50" s="2" t="n"/>
      <c r="S50" s="2" t="n"/>
      <c r="T50" s="2" t="n"/>
      <c r="U50" s="15" t="n"/>
    </row>
    <row r="51">
      <c r="A51" s="5" t="n"/>
      <c r="B51" s="3" t="n"/>
      <c r="C51" s="4" t="n"/>
      <c r="D51" s="4" t="n"/>
      <c r="E51" s="4" t="n"/>
      <c r="F51" s="4" t="n"/>
      <c r="G51" s="29">
        <f>(Table2[[#This Row],[Target Price]]-Table2[[#This Row],[Target Entry]])/(Table2[[#This Row],[Target Entry]]-Table2[[#This Row],[Stop]])</f>
        <v/>
      </c>
      <c r="H51" s="2" t="n"/>
      <c r="I51" s="2" t="n"/>
      <c r="J51" s="2" t="n"/>
      <c r="K51" s="2" t="n"/>
      <c r="L51" s="2" t="n"/>
      <c r="M51" s="2" t="n"/>
      <c r="N51" s="2" t="n"/>
      <c r="O51" s="4">
        <f>IF(Table2[[#This Row],[Trade Direction]]="Short",Table2[[#This Row],[Target Entry]]-Table2[[#This Row],[Target Price]],Table2[[#This Row],[Target Price]]-Table2[[#This Row],[Target Entry]])*Table2[[#This Row],[Intended Position]]</f>
        <v/>
      </c>
      <c r="P51" s="4">
        <f>IF(Table2[[#This Row],[Trade Direction]]="Short",Table2[[#This Row],[Target Entry]]-Table2[[#This Row],[Stop]],Table2[[#This Row],[Stop]]-Table2[[#This Row],[Target Entry]])*Table2[[#This Row],[Intended Position]]</f>
        <v/>
      </c>
      <c r="Q51" s="2" t="n"/>
      <c r="R51" s="2" t="n"/>
      <c r="S51" s="2" t="n"/>
      <c r="T51" s="2" t="n"/>
      <c r="U51" s="15" t="n"/>
    </row>
    <row r="52">
      <c r="A52" s="5" t="n"/>
      <c r="B52" s="3" t="n"/>
      <c r="C52" s="4" t="n"/>
      <c r="D52" s="4" t="n"/>
      <c r="E52" s="4" t="n"/>
      <c r="F52" s="4" t="n"/>
      <c r="G52" s="29">
        <f>(Table2[[#This Row],[Target Price]]-Table2[[#This Row],[Target Entry]])/(Table2[[#This Row],[Target Entry]]-Table2[[#This Row],[Stop]])</f>
        <v/>
      </c>
      <c r="H52" s="2" t="n"/>
      <c r="I52" s="2" t="n"/>
      <c r="J52" s="2" t="n"/>
      <c r="K52" s="2" t="n"/>
      <c r="L52" s="2" t="n"/>
      <c r="M52" s="2" t="n"/>
      <c r="N52" s="2" t="n"/>
      <c r="O52" s="4">
        <f>IF(Table2[[#This Row],[Trade Direction]]="Short",Table2[[#This Row],[Target Entry]]-Table2[[#This Row],[Target Price]],Table2[[#This Row],[Target Price]]-Table2[[#This Row],[Target Entry]])*Table2[[#This Row],[Intended Position]]</f>
        <v/>
      </c>
      <c r="P52" s="4">
        <f>IF(Table2[[#This Row],[Trade Direction]]="Short",Table2[[#This Row],[Target Entry]]-Table2[[#This Row],[Stop]],Table2[[#This Row],[Stop]]-Table2[[#This Row],[Target Entry]])*Table2[[#This Row],[Intended Position]]</f>
        <v/>
      </c>
      <c r="Q52" s="2" t="n"/>
      <c r="R52" s="2" t="n"/>
      <c r="S52" s="2" t="n"/>
      <c r="T52" s="2" t="n"/>
      <c r="U52" s="15" t="n"/>
    </row>
    <row r="53">
      <c r="A53" s="5" t="n"/>
      <c r="B53" s="3" t="n"/>
      <c r="C53" s="4" t="n"/>
      <c r="D53" s="4" t="n"/>
      <c r="E53" s="4" t="n"/>
      <c r="F53" s="4" t="n"/>
      <c r="G53" s="29">
        <f>(Table2[[#This Row],[Target Price]]-Table2[[#This Row],[Target Entry]])/(Table2[[#This Row],[Target Entry]]-Table2[[#This Row],[Stop]])</f>
        <v/>
      </c>
      <c r="H53" s="2" t="n"/>
      <c r="I53" s="2" t="n"/>
      <c r="J53" s="2" t="n"/>
      <c r="K53" s="2" t="n"/>
      <c r="L53" s="2" t="n"/>
      <c r="M53" s="2" t="n"/>
      <c r="N53" s="2" t="n"/>
      <c r="O53" s="4">
        <f>IF(Table2[[#This Row],[Trade Direction]]="Short",Table2[[#This Row],[Target Entry]]-Table2[[#This Row],[Target Price]],Table2[[#This Row],[Target Price]]-Table2[[#This Row],[Target Entry]])*Table2[[#This Row],[Intended Position]]</f>
        <v/>
      </c>
      <c r="P53" s="4">
        <f>IF(Table2[[#This Row],[Trade Direction]]="Short",Table2[[#This Row],[Target Entry]]-Table2[[#This Row],[Stop]],Table2[[#This Row],[Stop]]-Table2[[#This Row],[Target Entry]])*Table2[[#This Row],[Intended Position]]</f>
        <v/>
      </c>
      <c r="Q53" s="2" t="n"/>
      <c r="R53" s="2" t="n"/>
      <c r="S53" s="2" t="n"/>
      <c r="T53" s="2" t="n"/>
      <c r="U53" s="15" t="n"/>
    </row>
    <row r="54">
      <c r="A54" s="5" t="n"/>
      <c r="B54" s="3" t="n"/>
      <c r="C54" s="4" t="n"/>
      <c r="D54" s="4" t="n"/>
      <c r="E54" s="4" t="n"/>
      <c r="F54" s="4" t="n"/>
      <c r="G54" s="29">
        <f>(Table2[[#This Row],[Target Price]]-Table2[[#This Row],[Target Entry]])/(Table2[[#This Row],[Target Entry]]-Table2[[#This Row],[Stop]])</f>
        <v/>
      </c>
      <c r="H54" s="2" t="n"/>
      <c r="I54" s="2" t="n"/>
      <c r="J54" s="2" t="n"/>
      <c r="K54" s="2" t="n"/>
      <c r="L54" s="2" t="n"/>
      <c r="M54" s="2" t="n"/>
      <c r="N54" s="2" t="n"/>
      <c r="O54" s="4">
        <f>IF(Table2[[#This Row],[Trade Direction]]="Short",Table2[[#This Row],[Target Entry]]-Table2[[#This Row],[Target Price]],Table2[[#This Row],[Target Price]]-Table2[[#This Row],[Target Entry]])*Table2[[#This Row],[Intended Position]]</f>
        <v/>
      </c>
      <c r="P54" s="4">
        <f>IF(Table2[[#This Row],[Trade Direction]]="Short",Table2[[#This Row],[Target Entry]]-Table2[[#This Row],[Stop]],Table2[[#This Row],[Stop]]-Table2[[#This Row],[Target Entry]])*Table2[[#This Row],[Intended Position]]</f>
        <v/>
      </c>
      <c r="Q54" s="2" t="n"/>
      <c r="R54" s="2" t="n"/>
      <c r="S54" s="2" t="n"/>
      <c r="T54" s="2" t="n"/>
      <c r="U54" s="15" t="n"/>
    </row>
    <row r="55">
      <c r="A55" s="5" t="n"/>
      <c r="B55" s="3" t="n"/>
      <c r="C55" s="4" t="n"/>
      <c r="D55" s="4" t="n"/>
      <c r="E55" s="4" t="n"/>
      <c r="F55" s="4" t="n"/>
      <c r="G55" s="29">
        <f>(Table2[[#This Row],[Target Price]]-Table2[[#This Row],[Target Entry]])/(Table2[[#This Row],[Target Entry]]-Table2[[#This Row],[Stop]])</f>
        <v/>
      </c>
      <c r="H55" s="2" t="n"/>
      <c r="I55" s="2" t="n"/>
      <c r="J55" s="2" t="n"/>
      <c r="K55" s="2" t="n"/>
      <c r="L55" s="2" t="n"/>
      <c r="M55" s="2" t="n"/>
      <c r="N55" s="2" t="n"/>
      <c r="O55" s="4">
        <f>IF(Table2[[#This Row],[Trade Direction]]="Short",Table2[[#This Row],[Target Entry]]-Table2[[#This Row],[Target Price]],Table2[[#This Row],[Target Price]]-Table2[[#This Row],[Target Entry]])*Table2[[#This Row],[Intended Position]]</f>
        <v/>
      </c>
      <c r="P55" s="4">
        <f>IF(Table2[[#This Row],[Trade Direction]]="Short",Table2[[#This Row],[Target Entry]]-Table2[[#This Row],[Stop]],Table2[[#This Row],[Stop]]-Table2[[#This Row],[Target Entry]])*Table2[[#This Row],[Intended Position]]</f>
        <v/>
      </c>
      <c r="Q55" s="2" t="n"/>
      <c r="R55" s="2" t="n"/>
      <c r="S55" s="2" t="n"/>
      <c r="T55" s="2" t="n"/>
      <c r="U55" s="15" t="n"/>
    </row>
    <row r="56">
      <c r="A56" s="5" t="n"/>
      <c r="B56" s="3" t="n"/>
      <c r="C56" s="4" t="n"/>
      <c r="D56" s="4" t="n"/>
      <c r="E56" s="4" t="n"/>
      <c r="F56" s="4" t="n"/>
      <c r="G56" s="29">
        <f>(Table2[[#This Row],[Target Price]]-Table2[[#This Row],[Target Entry]])/(Table2[[#This Row],[Target Entry]]-Table2[[#This Row],[Stop]])</f>
        <v/>
      </c>
      <c r="H56" s="2" t="n"/>
      <c r="I56" s="2" t="n"/>
      <c r="J56" s="2" t="n"/>
      <c r="K56" s="2" t="n"/>
      <c r="L56" s="2" t="n"/>
      <c r="M56" s="2" t="n"/>
      <c r="N56" s="2" t="n"/>
      <c r="O56" s="4">
        <f>IF(Table2[[#This Row],[Trade Direction]]="Short",Table2[[#This Row],[Target Entry]]-Table2[[#This Row],[Target Price]],Table2[[#This Row],[Target Price]]-Table2[[#This Row],[Target Entry]])*Table2[[#This Row],[Intended Position]]</f>
        <v/>
      </c>
      <c r="P56" s="4">
        <f>IF(Table2[[#This Row],[Trade Direction]]="Short",Table2[[#This Row],[Target Entry]]-Table2[[#This Row],[Stop]],Table2[[#This Row],[Stop]]-Table2[[#This Row],[Target Entry]])*Table2[[#This Row],[Intended Position]]</f>
        <v/>
      </c>
      <c r="Q56" s="2" t="n"/>
      <c r="R56" s="2" t="n"/>
      <c r="S56" s="2" t="n"/>
      <c r="T56" s="2" t="n"/>
      <c r="U56" s="15" t="n"/>
    </row>
    <row r="57">
      <c r="A57" s="5" t="n"/>
      <c r="B57" s="3" t="n"/>
      <c r="C57" s="4" t="n"/>
      <c r="D57" s="4" t="n"/>
      <c r="E57" s="4" t="n"/>
      <c r="F57" s="4" t="n"/>
      <c r="G57" s="29">
        <f>(Table2[[#This Row],[Target Price]]-Table2[[#This Row],[Target Entry]])/(Table2[[#This Row],[Target Entry]]-Table2[[#This Row],[Stop]])</f>
        <v/>
      </c>
      <c r="H57" s="2" t="n"/>
      <c r="I57" s="2" t="n"/>
      <c r="J57" s="2" t="n"/>
      <c r="K57" s="2" t="n"/>
      <c r="L57" s="2" t="n"/>
      <c r="M57" s="2" t="n"/>
      <c r="N57" s="2" t="n"/>
      <c r="O57" s="4">
        <f>IF(Table2[[#This Row],[Trade Direction]]="Short",Table2[[#This Row],[Target Entry]]-Table2[[#This Row],[Target Price]],Table2[[#This Row],[Target Price]]-Table2[[#This Row],[Target Entry]])*Table2[[#This Row],[Intended Position]]</f>
        <v/>
      </c>
      <c r="P57" s="4">
        <f>IF(Table2[[#This Row],[Trade Direction]]="Short",Table2[[#This Row],[Target Entry]]-Table2[[#This Row],[Stop]],Table2[[#This Row],[Stop]]-Table2[[#This Row],[Target Entry]])*Table2[[#This Row],[Intended Position]]</f>
        <v/>
      </c>
      <c r="Q57" s="2" t="n"/>
      <c r="R57" s="2" t="n"/>
      <c r="S57" s="2" t="n"/>
      <c r="T57" s="2" t="n"/>
      <c r="U57" s="15"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codeName="Sheet4">
    <outlinePr summaryBelow="1" summaryRight="1"/>
    <pageSetUpPr/>
  </sheetPr>
  <dimension ref="A1:AA17"/>
  <sheetViews>
    <sheetView tabSelected="1" workbookViewId="0">
      <selection activeCell="AA12" sqref="AA12"/>
    </sheetView>
  </sheetViews>
  <sheetFormatPr baseColWidth="8" defaultRowHeight="14.5"/>
  <cols>
    <col width="8.7265625" customWidth="1" style="14" min="1" max="6"/>
    <col width="18.08984375" customWidth="1" style="14" min="7" max="7"/>
    <col width="8.7265625" customWidth="1" style="14" min="8" max="22"/>
    <col width="14.81640625" customWidth="1" style="12" min="23" max="23"/>
    <col width="8.7265625" customWidth="1" style="13" min="24" max="25"/>
    <col width="8.7265625" customWidth="1" style="14" min="26" max="27"/>
  </cols>
  <sheetData>
    <row r="1">
      <c r="A1" s="14" t="inlineStr">
        <is>
          <t>Status</t>
        </is>
      </c>
      <c r="B1" s="24" t="inlineStr">
        <is>
          <t>Trade ID</t>
        </is>
      </c>
      <c r="C1" s="14" t="inlineStr">
        <is>
          <t>Symbol</t>
        </is>
      </c>
      <c r="D1" s="24" t="inlineStr">
        <is>
          <t>Sourced</t>
        </is>
      </c>
      <c r="E1" s="14" t="inlineStr">
        <is>
          <t>Size</t>
        </is>
      </c>
      <c r="F1" s="14" t="inlineStr">
        <is>
          <t>Open Date</t>
        </is>
      </c>
      <c r="G1" s="14" t="inlineStr">
        <is>
          <t>Close Date</t>
        </is>
      </c>
      <c r="H1" s="14" t="inlineStr">
        <is>
          <t>Setup 1</t>
        </is>
      </c>
      <c r="I1" s="14" t="inlineStr">
        <is>
          <t>Setup 2</t>
        </is>
      </c>
      <c r="J1" s="14" t="inlineStr">
        <is>
          <t>Setup 3</t>
        </is>
      </c>
      <c r="K1" s="14" t="inlineStr">
        <is>
          <t>Setup 4</t>
        </is>
      </c>
      <c r="L1" s="14" t="inlineStr">
        <is>
          <t>Setup 5</t>
        </is>
      </c>
      <c r="M1" s="14" t="inlineStr">
        <is>
          <t>Setup 6</t>
        </is>
      </c>
      <c r="N1" s="14" t="inlineStr">
        <is>
          <t>Mistakes 1</t>
        </is>
      </c>
      <c r="O1" s="14" t="inlineStr">
        <is>
          <t>Mistakes 2</t>
        </is>
      </c>
      <c r="P1" s="14" t="inlineStr">
        <is>
          <t>Mistakes 3</t>
        </is>
      </c>
      <c r="Q1" s="14" t="inlineStr">
        <is>
          <t>Mistakes 4</t>
        </is>
      </c>
      <c r="R1" s="14" t="inlineStr">
        <is>
          <t>Mistakes 5</t>
        </is>
      </c>
      <c r="S1" s="14" t="inlineStr">
        <is>
          <t>Avg Buy</t>
        </is>
      </c>
      <c r="T1" s="14" t="inlineStr">
        <is>
          <t>Avg Sell</t>
        </is>
      </c>
      <c r="U1" s="14" t="inlineStr">
        <is>
          <t>Net Return</t>
        </is>
      </c>
      <c r="V1" s="14" t="inlineStr">
        <is>
          <t>Type</t>
        </is>
      </c>
      <c r="W1" s="12" t="inlineStr">
        <is>
          <t>Net Return %</t>
        </is>
      </c>
      <c r="X1" s="13" t="inlineStr">
        <is>
          <t>MAE</t>
        </is>
      </c>
      <c r="Y1" s="13" t="inlineStr">
        <is>
          <t>MFE</t>
        </is>
      </c>
      <c r="Z1" s="14" t="inlineStr">
        <is>
          <t>Best Exit $</t>
        </is>
      </c>
      <c r="AA1" s="14" t="inlineStr">
        <is>
          <t>Best Exit %</t>
        </is>
      </c>
    </row>
    <row r="2" ht="14" customHeight="1">
      <c r="A2" t="inlineStr">
        <is>
          <t>WIN</t>
        </is>
      </c>
      <c r="B2" t="n">
        <v>4</v>
      </c>
      <c r="C2" t="inlineStr">
        <is>
          <t>SPX</t>
        </is>
      </c>
      <c r="E2" t="n">
        <v>1</v>
      </c>
      <c r="F2" t="inlineStr">
        <is>
          <t>Apr 19, 2024</t>
        </is>
      </c>
      <c r="G2" s="38" t="n">
        <v>45401</v>
      </c>
      <c r="S2" s="40" t="n">
        <v>5.8</v>
      </c>
      <c r="T2" s="40" t="n">
        <v>6</v>
      </c>
      <c r="U2" s="40" t="n">
        <v>17.64</v>
      </c>
      <c r="V2" t="inlineStr">
        <is>
          <t>OPTION</t>
        </is>
      </c>
      <c r="W2" s="37">
        <f>(T2-S2)/S2</f>
        <v/>
      </c>
      <c r="X2" s="40" t="n">
        <v>-95</v>
      </c>
      <c r="Y2" s="40" t="n">
        <v>20</v>
      </c>
      <c r="Z2" s="40" t="n">
        <v/>
      </c>
      <c r="AA2" t="n">
        <v/>
      </c>
    </row>
    <row r="3">
      <c r="A3" t="inlineStr">
        <is>
          <t>WIN</t>
        </is>
      </c>
      <c r="B3" t="n">
        <v>8</v>
      </c>
      <c r="C3" t="inlineStr">
        <is>
          <t>SPX</t>
        </is>
      </c>
      <c r="E3" t="n">
        <v>1</v>
      </c>
      <c r="F3" t="inlineStr">
        <is>
          <t>Apr 19, 2024</t>
        </is>
      </c>
      <c r="G3" s="38" t="n">
        <v>45401</v>
      </c>
      <c r="S3" s="40" t="n">
        <v>5.8</v>
      </c>
      <c r="T3" s="40" t="n">
        <v>6</v>
      </c>
      <c r="U3" s="40" t="n">
        <v>17.64</v>
      </c>
      <c r="V3" t="inlineStr">
        <is>
          <t>OPTION</t>
        </is>
      </c>
      <c r="W3" s="37">
        <f>(T3-S3)/S3</f>
        <v/>
      </c>
      <c r="X3" s="40" t="n">
        <v>-95</v>
      </c>
      <c r="Y3" s="40" t="n">
        <v>20</v>
      </c>
      <c r="Z3" s="40" t="n">
        <v/>
      </c>
      <c r="AA3" t="n">
        <v/>
      </c>
    </row>
    <row r="4">
      <c r="A4" t="inlineStr">
        <is>
          <t>WIN</t>
        </is>
      </c>
      <c r="B4" t="n">
        <v>12</v>
      </c>
      <c r="C4" t="inlineStr">
        <is>
          <t>SPX</t>
        </is>
      </c>
      <c r="E4" t="n">
        <v>1</v>
      </c>
      <c r="F4" t="inlineStr">
        <is>
          <t>Apr 19, 2024</t>
        </is>
      </c>
      <c r="G4" s="38" t="n">
        <v>45401</v>
      </c>
      <c r="S4" s="40" t="n">
        <v>5.8</v>
      </c>
      <c r="T4" s="40" t="n">
        <v>6</v>
      </c>
      <c r="U4" s="40" t="n">
        <v>17.64</v>
      </c>
      <c r="V4" t="inlineStr">
        <is>
          <t>OPTION</t>
        </is>
      </c>
      <c r="W4" s="37">
        <f>(T4-S4)/S4</f>
        <v/>
      </c>
      <c r="X4" s="40" t="n">
        <v>-95</v>
      </c>
      <c r="Y4" s="40" t="n">
        <v>20</v>
      </c>
      <c r="Z4" s="40" t="n">
        <v/>
      </c>
      <c r="AA4" t="n">
        <v/>
      </c>
    </row>
    <row r="5">
      <c r="A5" t="inlineStr">
        <is>
          <t>WIN</t>
        </is>
      </c>
      <c r="B5" t="n">
        <v>16</v>
      </c>
      <c r="C5" t="inlineStr">
        <is>
          <t>SPX</t>
        </is>
      </c>
      <c r="D5" t="n">
        <v/>
      </c>
      <c r="E5" t="n">
        <v>1</v>
      </c>
      <c r="F5" t="inlineStr">
        <is>
          <t>Apr 19, 2024</t>
        </is>
      </c>
      <c r="G5" s="38" t="n">
        <v>45401</v>
      </c>
      <c r="H5" t="n">
        <v/>
      </c>
      <c r="I5" t="n">
        <v/>
      </c>
      <c r="J5" t="n">
        <v/>
      </c>
      <c r="K5" t="n">
        <v/>
      </c>
      <c r="L5" t="n">
        <v/>
      </c>
      <c r="M5" t="n">
        <v/>
      </c>
      <c r="N5" t="n">
        <v/>
      </c>
      <c r="O5" t="n">
        <v/>
      </c>
      <c r="P5" t="n">
        <v/>
      </c>
      <c r="Q5" t="n">
        <v/>
      </c>
      <c r="R5" t="n">
        <v/>
      </c>
      <c r="S5" s="40" t="n">
        <v>5.8</v>
      </c>
      <c r="T5" s="40" t="n">
        <v>6</v>
      </c>
      <c r="U5" s="40" t="n">
        <v>17.64</v>
      </c>
      <c r="V5" t="inlineStr">
        <is>
          <t>OPTION</t>
        </is>
      </c>
      <c r="W5" s="37">
        <f>(T5-S5)/S5</f>
        <v/>
      </c>
      <c r="X5" s="40" t="n">
        <v>-95</v>
      </c>
      <c r="Y5" s="40" t="n">
        <v>20</v>
      </c>
      <c r="Z5" s="40" t="n">
        <v/>
      </c>
      <c r="AA5" t="n">
        <v/>
      </c>
    </row>
    <row r="6">
      <c r="A6" t="inlineStr">
        <is>
          <t>LOSS</t>
        </is>
      </c>
      <c r="B6" t="n">
        <v>2</v>
      </c>
      <c r="C6" t="inlineStr">
        <is>
          <t>SPX</t>
        </is>
      </c>
      <c r="E6" t="n">
        <v>1</v>
      </c>
      <c r="F6" t="inlineStr">
        <is>
          <t>Apr 15, 2024</t>
        </is>
      </c>
      <c r="G6" s="38" t="n">
        <v>45397</v>
      </c>
      <c r="S6" s="40" t="n">
        <v>7.8</v>
      </c>
      <c r="T6" s="40" t="n">
        <v>7.4</v>
      </c>
      <c r="U6" s="40" t="n">
        <v>-42.36</v>
      </c>
      <c r="V6" t="inlineStr">
        <is>
          <t>OPTION</t>
        </is>
      </c>
      <c r="W6" s="37">
        <f>(T6-S6)/S6</f>
        <v/>
      </c>
      <c r="X6" s="40" t="n">
        <v>-40</v>
      </c>
      <c r="Y6" s="40" t="n">
        <v/>
      </c>
      <c r="Z6" s="40" t="n">
        <v/>
      </c>
      <c r="AA6" t="n">
        <v/>
      </c>
    </row>
    <row r="7">
      <c r="A7" t="inlineStr">
        <is>
          <t>WIN</t>
        </is>
      </c>
      <c r="B7" t="n">
        <v>3</v>
      </c>
      <c r="C7" t="inlineStr">
        <is>
          <t>SPX</t>
        </is>
      </c>
      <c r="E7" t="n">
        <v>1</v>
      </c>
      <c r="F7" t="inlineStr">
        <is>
          <t>Apr 15, 2024</t>
        </is>
      </c>
      <c r="G7" s="38" t="n">
        <v>45397</v>
      </c>
      <c r="S7" s="40" t="n">
        <v>6.3</v>
      </c>
      <c r="T7" s="40" t="n">
        <v>6.6</v>
      </c>
      <c r="U7" s="40" t="n">
        <v>27.64</v>
      </c>
      <c r="V7" t="inlineStr">
        <is>
          <t>OPTION</t>
        </is>
      </c>
      <c r="W7" s="37">
        <f>(T7-S7)/S7</f>
        <v/>
      </c>
      <c r="X7" s="40" t="n">
        <v>20</v>
      </c>
      <c r="Y7" s="40" t="n">
        <v>30</v>
      </c>
      <c r="Z7" s="40" t="n">
        <v/>
      </c>
      <c r="AA7" t="n">
        <v/>
      </c>
    </row>
    <row r="8">
      <c r="A8" t="inlineStr">
        <is>
          <t>LOSS</t>
        </is>
      </c>
      <c r="B8" t="n">
        <v>6</v>
      </c>
      <c r="C8" t="inlineStr">
        <is>
          <t>SPX</t>
        </is>
      </c>
      <c r="E8" t="n">
        <v>1</v>
      </c>
      <c r="F8" t="inlineStr">
        <is>
          <t>Apr 15, 2024</t>
        </is>
      </c>
      <c r="G8" s="38" t="n">
        <v>45397</v>
      </c>
      <c r="S8" s="40" t="n">
        <v>7.8</v>
      </c>
      <c r="T8" s="40" t="n">
        <v>7.4</v>
      </c>
      <c r="U8" s="40" t="n">
        <v>-42.36</v>
      </c>
      <c r="V8" t="inlineStr">
        <is>
          <t>OPTION</t>
        </is>
      </c>
      <c r="W8" s="37">
        <f>(T8-S8)/S8</f>
        <v/>
      </c>
      <c r="X8" s="40" t="n">
        <v>-40</v>
      </c>
      <c r="Y8" s="40" t="n">
        <v/>
      </c>
      <c r="Z8" s="40" t="n">
        <v/>
      </c>
      <c r="AA8" t="n">
        <v/>
      </c>
    </row>
    <row r="9">
      <c r="A9" t="inlineStr">
        <is>
          <t>WIN</t>
        </is>
      </c>
      <c r="B9" t="n">
        <v>7</v>
      </c>
      <c r="C9" t="inlineStr">
        <is>
          <t>SPX</t>
        </is>
      </c>
      <c r="E9" t="n">
        <v>1</v>
      </c>
      <c r="F9" t="inlineStr">
        <is>
          <t>Apr 15, 2024</t>
        </is>
      </c>
      <c r="G9" s="38" t="n">
        <v>45397</v>
      </c>
      <c r="S9" s="40" t="n">
        <v>6.3</v>
      </c>
      <c r="T9" s="40" t="n">
        <v>6.6</v>
      </c>
      <c r="U9" s="40" t="n">
        <v>27.64</v>
      </c>
      <c r="V9" t="inlineStr">
        <is>
          <t>OPTION</t>
        </is>
      </c>
      <c r="W9" s="37">
        <f>(T9-S9)/S9</f>
        <v/>
      </c>
      <c r="X9" s="40" t="n">
        <v>20</v>
      </c>
      <c r="Y9" s="40" t="n">
        <v>30</v>
      </c>
      <c r="Z9" s="40" t="n">
        <v/>
      </c>
      <c r="AA9" t="n">
        <v/>
      </c>
    </row>
    <row r="10">
      <c r="A10" t="inlineStr">
        <is>
          <t>LOSS</t>
        </is>
      </c>
      <c r="B10" t="n">
        <v>10</v>
      </c>
      <c r="C10" t="inlineStr">
        <is>
          <t>SPX</t>
        </is>
      </c>
      <c r="E10" t="n">
        <v>1</v>
      </c>
      <c r="F10" t="inlineStr">
        <is>
          <t>Apr 15, 2024</t>
        </is>
      </c>
      <c r="G10" s="38" t="n">
        <v>45397</v>
      </c>
      <c r="S10" s="40" t="n">
        <v>7.8</v>
      </c>
      <c r="T10" s="40" t="n">
        <v>7.4</v>
      </c>
      <c r="U10" s="40" t="n">
        <v>-42.36</v>
      </c>
      <c r="V10" t="inlineStr">
        <is>
          <t>OPTION</t>
        </is>
      </c>
      <c r="W10" s="37">
        <f>(T10-S10)/S10</f>
        <v/>
      </c>
      <c r="X10" s="40" t="n">
        <v>-40</v>
      </c>
      <c r="Y10" s="40" t="n">
        <v/>
      </c>
      <c r="Z10" s="40" t="n">
        <v/>
      </c>
      <c r="AA10" t="n">
        <v/>
      </c>
    </row>
    <row r="11">
      <c r="A11" t="inlineStr">
        <is>
          <t>WIN</t>
        </is>
      </c>
      <c r="B11" t="n">
        <v>11</v>
      </c>
      <c r="C11" t="inlineStr">
        <is>
          <t>SPX</t>
        </is>
      </c>
      <c r="E11" t="n">
        <v>1</v>
      </c>
      <c r="F11" t="inlineStr">
        <is>
          <t>Apr 15, 2024</t>
        </is>
      </c>
      <c r="G11" s="38" t="n">
        <v>45397</v>
      </c>
      <c r="S11" s="40" t="n">
        <v>6.3</v>
      </c>
      <c r="T11" s="40" t="n">
        <v>6.6</v>
      </c>
      <c r="U11" s="40" t="n">
        <v>27.64</v>
      </c>
      <c r="V11" t="inlineStr">
        <is>
          <t>OPTION</t>
        </is>
      </c>
      <c r="W11" s="37">
        <f>(T11-S11)/S11</f>
        <v/>
      </c>
      <c r="X11" s="40" t="n">
        <v>20</v>
      </c>
      <c r="Y11" s="40" t="n">
        <v>30</v>
      </c>
      <c r="Z11" s="40" t="n">
        <v/>
      </c>
      <c r="AA11" t="n">
        <v/>
      </c>
    </row>
    <row r="12">
      <c r="A12" t="inlineStr">
        <is>
          <t>LOSS</t>
        </is>
      </c>
      <c r="B12" t="n">
        <v>14</v>
      </c>
      <c r="C12" t="inlineStr">
        <is>
          <t>SPX</t>
        </is>
      </c>
      <c r="D12" t="n">
        <v/>
      </c>
      <c r="E12" t="n">
        <v>1</v>
      </c>
      <c r="F12" t="inlineStr">
        <is>
          <t>Apr 15, 2024</t>
        </is>
      </c>
      <c r="G12" s="38" t="n">
        <v>45397</v>
      </c>
      <c r="H12" t="n">
        <v/>
      </c>
      <c r="I12" t="n">
        <v/>
      </c>
      <c r="J12" t="n">
        <v/>
      </c>
      <c r="K12" t="n">
        <v/>
      </c>
      <c r="L12" t="n">
        <v/>
      </c>
      <c r="M12" t="n">
        <v/>
      </c>
      <c r="N12" t="n">
        <v/>
      </c>
      <c r="O12" t="n">
        <v/>
      </c>
      <c r="P12" t="n">
        <v/>
      </c>
      <c r="Q12" t="n">
        <v/>
      </c>
      <c r="R12" t="n">
        <v/>
      </c>
      <c r="S12" s="40" t="n">
        <v>7.8</v>
      </c>
      <c r="T12" s="40" t="n">
        <v>7.4</v>
      </c>
      <c r="U12" s="40" t="n">
        <v>-42.36</v>
      </c>
      <c r="V12" t="inlineStr">
        <is>
          <t>OPTION</t>
        </is>
      </c>
      <c r="W12" s="37">
        <f>(T12-S12)/S12</f>
        <v/>
      </c>
      <c r="X12" s="40" t="n">
        <v>-40</v>
      </c>
      <c r="Y12" s="40" t="n">
        <v/>
      </c>
      <c r="Z12" s="40" t="n">
        <v/>
      </c>
      <c r="AA12" t="n">
        <v/>
      </c>
    </row>
    <row r="13">
      <c r="A13" t="inlineStr">
        <is>
          <t>WIN</t>
        </is>
      </c>
      <c r="B13" t="n">
        <v>15</v>
      </c>
      <c r="C13" t="inlineStr">
        <is>
          <t>SPX</t>
        </is>
      </c>
      <c r="D13" t="n">
        <v/>
      </c>
      <c r="E13" t="n">
        <v>1</v>
      </c>
      <c r="F13" t="inlineStr">
        <is>
          <t>Apr 15, 2024</t>
        </is>
      </c>
      <c r="G13" s="38" t="n">
        <v>45397</v>
      </c>
      <c r="H13" t="n">
        <v/>
      </c>
      <c r="I13" t="n">
        <v/>
      </c>
      <c r="J13" t="n">
        <v/>
      </c>
      <c r="K13" t="n">
        <v/>
      </c>
      <c r="L13" t="n">
        <v/>
      </c>
      <c r="M13" t="n">
        <v/>
      </c>
      <c r="N13" t="n">
        <v/>
      </c>
      <c r="O13" t="n">
        <v/>
      </c>
      <c r="P13" t="n">
        <v/>
      </c>
      <c r="Q13" t="n">
        <v/>
      </c>
      <c r="R13" t="n">
        <v/>
      </c>
      <c r="S13" s="40" t="n">
        <v>6.3</v>
      </c>
      <c r="T13" s="40" t="n">
        <v>6.6</v>
      </c>
      <c r="U13" s="40" t="n">
        <v>27.64</v>
      </c>
      <c r="V13" t="inlineStr">
        <is>
          <t>OPTION</t>
        </is>
      </c>
      <c r="W13" s="37">
        <f>(T13-S13)/S13</f>
        <v/>
      </c>
      <c r="X13" s="40" t="n">
        <v>20</v>
      </c>
      <c r="Y13" s="40" t="n">
        <v>30</v>
      </c>
      <c r="Z13" s="40" t="n">
        <v/>
      </c>
      <c r="AA13" t="n">
        <v/>
      </c>
    </row>
    <row r="14">
      <c r="A14" t="inlineStr">
        <is>
          <t>WIN</t>
        </is>
      </c>
      <c r="B14" t="n">
        <v>1</v>
      </c>
      <c r="C14" t="inlineStr">
        <is>
          <t>CELH</t>
        </is>
      </c>
      <c r="E14" t="n">
        <v>25</v>
      </c>
      <c r="F14" t="inlineStr">
        <is>
          <t>Feb 09, 2024</t>
        </is>
      </c>
      <c r="G14" s="41" t="n">
        <v>45352</v>
      </c>
      <c r="S14" s="40" t="n">
        <v>58.5999</v>
      </c>
      <c r="T14" s="40" t="n">
        <v>78.01000000000001</v>
      </c>
      <c r="U14" s="40" t="n">
        <v>485.25</v>
      </c>
      <c r="V14" t="inlineStr">
        <is>
          <t>SHARE</t>
        </is>
      </c>
      <c r="W14" s="37">
        <f>(T14-S14)/S14</f>
        <v/>
      </c>
      <c r="X14" s="40" t="n">
        <v>-58.2475</v>
      </c>
      <c r="Y14" s="40" t="n">
        <v>603.753</v>
      </c>
      <c r="Z14" s="40" t="n">
        <v>674</v>
      </c>
      <c r="AA14" t="n">
        <v>46.01</v>
      </c>
    </row>
    <row r="15">
      <c r="A15" t="inlineStr">
        <is>
          <t>WIN</t>
        </is>
      </c>
      <c r="B15" t="n">
        <v>5</v>
      </c>
      <c r="C15" t="inlineStr">
        <is>
          <t>CELH</t>
        </is>
      </c>
      <c r="E15" t="n">
        <v>25</v>
      </c>
      <c r="F15" t="inlineStr">
        <is>
          <t>Feb 09, 2024</t>
        </is>
      </c>
      <c r="G15" s="41" t="n">
        <v>45352</v>
      </c>
      <c r="S15" s="40" t="n">
        <v>58.5999</v>
      </c>
      <c r="T15" s="40" t="n">
        <v>78.01000000000001</v>
      </c>
      <c r="U15" s="40" t="n">
        <v>485.25</v>
      </c>
      <c r="V15" t="inlineStr">
        <is>
          <t>SHARE</t>
        </is>
      </c>
      <c r="W15" s="37">
        <f>(T15-S15)/S15</f>
        <v/>
      </c>
      <c r="X15" s="40" t="n">
        <v>-58.2475</v>
      </c>
      <c r="Y15" s="40" t="n">
        <v>603.753</v>
      </c>
      <c r="Z15" s="40" t="n">
        <v>674</v>
      </c>
      <c r="AA15" t="n">
        <v>46.01</v>
      </c>
    </row>
    <row r="16">
      <c r="A16" t="inlineStr">
        <is>
          <t>WIN</t>
        </is>
      </c>
      <c r="B16" t="n">
        <v>9</v>
      </c>
      <c r="C16" t="inlineStr">
        <is>
          <t>CELH</t>
        </is>
      </c>
      <c r="E16" t="n">
        <v>25</v>
      </c>
      <c r="F16" t="inlineStr">
        <is>
          <t>Feb 09, 2024</t>
        </is>
      </c>
      <c r="G16" s="41" t="n">
        <v>45352</v>
      </c>
      <c r="S16" s="40" t="n">
        <v>58.5999</v>
      </c>
      <c r="T16" s="40" t="n">
        <v>78.01000000000001</v>
      </c>
      <c r="U16" s="40" t="n">
        <v>485.25</v>
      </c>
      <c r="V16" t="inlineStr">
        <is>
          <t>SHARE</t>
        </is>
      </c>
      <c r="W16" s="37">
        <f>(T16-S16)/S16</f>
        <v/>
      </c>
      <c r="X16" s="40" t="n">
        <v>-58.2475</v>
      </c>
      <c r="Y16" s="40" t="n">
        <v>603.753</v>
      </c>
      <c r="Z16" s="40" t="n">
        <v>674</v>
      </c>
      <c r="AA16" t="n">
        <v>46.01</v>
      </c>
    </row>
    <row r="17">
      <c r="A17" t="inlineStr">
        <is>
          <t>WIN</t>
        </is>
      </c>
      <c r="B17" t="n">
        <v>13</v>
      </c>
      <c r="C17" t="inlineStr">
        <is>
          <t>CELH</t>
        </is>
      </c>
      <c r="D17" t="n">
        <v/>
      </c>
      <c r="E17" t="n">
        <v>25</v>
      </c>
      <c r="F17" t="inlineStr">
        <is>
          <t>Feb 09, 2024</t>
        </is>
      </c>
      <c r="G17" s="41" t="n">
        <v>45352</v>
      </c>
      <c r="H17" t="n">
        <v/>
      </c>
      <c r="I17" t="n">
        <v/>
      </c>
      <c r="J17" t="n">
        <v/>
      </c>
      <c r="K17" t="n">
        <v/>
      </c>
      <c r="L17" t="n">
        <v/>
      </c>
      <c r="M17" t="n">
        <v/>
      </c>
      <c r="N17" t="n">
        <v/>
      </c>
      <c r="O17" t="n">
        <v/>
      </c>
      <c r="P17" t="n">
        <v/>
      </c>
      <c r="Q17" t="n">
        <v/>
      </c>
      <c r="R17" t="n">
        <v/>
      </c>
      <c r="S17" s="40" t="n">
        <v>58.5999</v>
      </c>
      <c r="T17" s="40" t="n">
        <v>78.01000000000001</v>
      </c>
      <c r="U17" s="40" t="n">
        <v>485.25</v>
      </c>
      <c r="V17" t="inlineStr">
        <is>
          <t>SHARE</t>
        </is>
      </c>
      <c r="W17" s="37">
        <f>(T17-S17)/S17</f>
        <v/>
      </c>
      <c r="X17" s="40" t="n">
        <v>-58.2475</v>
      </c>
      <c r="Y17" s="40" t="n">
        <v>603.753</v>
      </c>
      <c r="Z17" s="40" t="n">
        <v>674</v>
      </c>
      <c r="AA17" t="n">
        <v>46.01</v>
      </c>
    </row>
  </sheetData>
  <pageMargins left="0.7" right="0.7" top="0.75" bottom="0.75" header="0.3" footer="0.3"/>
  <pageSetup orientation="portrait" paperSize="9"/>
</worksheet>
</file>

<file path=xl/worksheets/sheet6.xml><?xml version="1.0" encoding="utf-8"?>
<worksheet xmlns="http://schemas.openxmlformats.org/spreadsheetml/2006/main">
  <sheetPr codeName="Sheet5">
    <outlinePr summaryBelow="1" summaryRight="1"/>
    <pageSetUpPr/>
  </sheetPr>
  <dimension ref="A1:Q57"/>
  <sheetViews>
    <sheetView workbookViewId="0">
      <selection activeCell="F2" sqref="F2"/>
    </sheetView>
  </sheetViews>
  <sheetFormatPr baseColWidth="8" defaultRowHeight="14.5"/>
  <cols>
    <col width="11.81640625" customWidth="1" style="14" min="2" max="2"/>
    <col width="8.7265625" customWidth="1" style="14" min="3" max="11"/>
    <col width="13.7265625" customWidth="1" min="12" max="12"/>
    <col width="10.54296875" customWidth="1" min="13" max="13"/>
    <col width="10.08984375" customWidth="1" min="14" max="16"/>
  </cols>
  <sheetData>
    <row r="1">
      <c r="A1" s="19" t="inlineStr">
        <is>
          <t>Trade ID</t>
        </is>
      </c>
      <c r="B1" s="19" t="inlineStr">
        <is>
          <t>Ticker</t>
        </is>
      </c>
      <c r="C1" s="22" t="inlineStr">
        <is>
          <t>Close Date</t>
        </is>
      </c>
      <c r="D1" s="17" t="inlineStr">
        <is>
          <t>Entry Price</t>
        </is>
      </c>
      <c r="E1" s="17" t="inlineStr">
        <is>
          <t>Exit Price</t>
        </is>
      </c>
      <c r="F1" s="17" t="inlineStr">
        <is>
          <t>Avg Buy</t>
        </is>
      </c>
      <c r="G1" s="17" t="inlineStr">
        <is>
          <t>Avg Sell</t>
        </is>
      </c>
      <c r="H1" s="19" t="inlineStr">
        <is>
          <t>Net Return</t>
        </is>
      </c>
      <c r="I1" s="19" t="inlineStr">
        <is>
          <t>Strategy</t>
        </is>
      </c>
      <c r="J1" s="17" t="inlineStr">
        <is>
          <t>Status</t>
        </is>
      </c>
      <c r="K1" s="17" t="inlineStr">
        <is>
          <t>Exit Feeling</t>
        </is>
      </c>
      <c r="L1" s="17" t="inlineStr">
        <is>
          <t>Sourced</t>
        </is>
      </c>
      <c r="M1" s="17" t="inlineStr">
        <is>
          <t>Quality</t>
        </is>
      </c>
      <c r="N1" s="17" t="inlineStr">
        <is>
          <t>Retro Due Date</t>
        </is>
      </c>
      <c r="O1" s="28" t="inlineStr">
        <is>
          <t>KPI #1</t>
        </is>
      </c>
      <c r="P1" s="25" t="inlineStr">
        <is>
          <t>KPI #2</t>
        </is>
      </c>
      <c r="Q1" s="25" t="inlineStr">
        <is>
          <t>KPI #3</t>
        </is>
      </c>
    </row>
    <row r="2">
      <c r="A2" s="20" t="n"/>
      <c r="B2" s="20" t="n"/>
      <c r="C2" s="22" t="n"/>
      <c r="D2" s="17" t="n"/>
      <c r="E2" s="17" t="n"/>
      <c r="F2" s="17" t="n"/>
      <c r="G2" s="17" t="n"/>
      <c r="H2" s="19" t="n"/>
      <c r="I2" s="19" t="n"/>
      <c r="J2" s="17" t="n"/>
      <c r="K2" s="2" t="n"/>
      <c r="L2" s="2" t="n"/>
      <c r="M2" s="2" t="n"/>
      <c r="N2" s="2" t="inlineStr">
        <is>
          <t>Make formula that adds however many days to the Date column</t>
        </is>
      </c>
      <c r="O2" s="2" t="n"/>
      <c r="P2" s="2" t="n"/>
      <c r="Q2" s="15" t="n"/>
    </row>
    <row r="3">
      <c r="A3" s="20" t="n"/>
      <c r="B3" s="20" t="n"/>
      <c r="C3" s="22" t="n"/>
      <c r="D3" s="17" t="n"/>
      <c r="E3" s="17" t="n"/>
      <c r="F3" s="17" t="n"/>
      <c r="G3" s="17" t="n"/>
      <c r="H3" s="19" t="n"/>
      <c r="I3" s="19" t="n"/>
      <c r="J3" s="17" t="n"/>
      <c r="K3" s="2" t="n"/>
      <c r="L3" s="2" t="n"/>
      <c r="M3" s="2" t="n"/>
      <c r="N3" s="2" t="n"/>
      <c r="O3" s="2" t="n"/>
      <c r="P3" s="2" t="n"/>
      <c r="Q3" s="15" t="n"/>
    </row>
    <row r="4">
      <c r="A4" s="20" t="n"/>
      <c r="B4" s="20" t="n"/>
      <c r="C4" s="22" t="n"/>
      <c r="D4" s="17" t="n"/>
      <c r="E4" s="17" t="n"/>
      <c r="F4" s="17" t="n"/>
      <c r="G4" s="17" t="n"/>
      <c r="H4" s="19" t="n"/>
      <c r="I4" s="19" t="n"/>
      <c r="J4" s="17" t="n"/>
      <c r="K4" s="2" t="n"/>
      <c r="L4" s="2" t="n"/>
      <c r="M4" s="2" t="n"/>
      <c r="N4" s="2" t="n"/>
      <c r="O4" s="2" t="n"/>
      <c r="P4" s="2" t="n"/>
      <c r="Q4" s="15" t="n"/>
    </row>
    <row r="5">
      <c r="A5" s="20" t="n"/>
      <c r="B5" s="20" t="n"/>
      <c r="C5" s="22" t="n"/>
      <c r="D5" s="17" t="n"/>
      <c r="E5" s="17" t="n"/>
      <c r="F5" s="17" t="n"/>
      <c r="G5" s="17" t="n"/>
      <c r="H5" s="19" t="n"/>
      <c r="I5" s="19" t="n"/>
      <c r="J5" s="17" t="n"/>
      <c r="K5" s="2" t="n"/>
      <c r="L5" s="2" t="n"/>
      <c r="M5" s="2" t="n"/>
      <c r="N5" s="2" t="n"/>
      <c r="O5" s="2" t="n"/>
      <c r="P5" s="2" t="n"/>
      <c r="Q5" s="15" t="n"/>
    </row>
    <row r="6">
      <c r="A6" s="20" t="n"/>
      <c r="B6" s="20" t="n"/>
      <c r="C6" s="22" t="n"/>
      <c r="D6" s="17" t="n"/>
      <c r="E6" s="17" t="n"/>
      <c r="F6" s="17" t="n"/>
      <c r="G6" s="17" t="n"/>
      <c r="H6" s="19" t="n"/>
      <c r="I6" s="19" t="n"/>
      <c r="J6" s="17" t="n"/>
      <c r="K6" s="2" t="n"/>
      <c r="L6" s="2" t="n"/>
      <c r="M6" s="2" t="n"/>
      <c r="N6" s="2" t="n"/>
      <c r="O6" s="2" t="n"/>
      <c r="P6" s="2" t="n"/>
      <c r="Q6" s="15" t="n"/>
    </row>
    <row r="7">
      <c r="A7" s="20" t="n"/>
      <c r="B7" s="20" t="n"/>
      <c r="C7" s="22" t="n"/>
      <c r="D7" s="17" t="n"/>
      <c r="E7" s="17" t="n"/>
      <c r="F7" s="17" t="n"/>
      <c r="G7" s="17" t="n"/>
      <c r="H7" s="19" t="n"/>
      <c r="I7" s="19" t="n"/>
      <c r="J7" s="17" t="n"/>
      <c r="K7" s="2" t="n"/>
      <c r="L7" s="2" t="n"/>
      <c r="M7" s="2" t="n"/>
      <c r="N7" s="2" t="n"/>
      <c r="O7" s="2" t="n"/>
      <c r="P7" s="2" t="n"/>
      <c r="Q7" s="15" t="n"/>
    </row>
    <row r="8">
      <c r="A8" s="20" t="n"/>
      <c r="B8" s="20" t="n"/>
      <c r="C8" s="22" t="n"/>
      <c r="D8" s="17" t="n"/>
      <c r="E8" s="17" t="n"/>
      <c r="F8" s="17" t="n"/>
      <c r="G8" s="17" t="n"/>
      <c r="H8" s="19" t="n"/>
      <c r="I8" s="19" t="n"/>
      <c r="J8" s="17" t="n"/>
      <c r="K8" s="2" t="n"/>
      <c r="L8" s="2" t="n"/>
      <c r="M8" s="2" t="n"/>
      <c r="N8" s="2" t="n"/>
      <c r="O8" s="2" t="n"/>
      <c r="P8" s="2" t="n"/>
      <c r="Q8" s="15" t="n"/>
    </row>
    <row r="9">
      <c r="A9" s="20" t="n"/>
      <c r="B9" s="20" t="n"/>
      <c r="C9" s="22" t="n"/>
      <c r="D9" s="17" t="n"/>
      <c r="E9" s="17" t="n"/>
      <c r="F9" s="17" t="n"/>
      <c r="G9" s="17" t="n"/>
      <c r="H9" s="19" t="n"/>
      <c r="I9" s="19" t="n"/>
      <c r="J9" s="17" t="n"/>
      <c r="K9" s="2" t="n"/>
      <c r="L9" s="2" t="n"/>
      <c r="M9" s="2" t="n"/>
      <c r="N9" s="2" t="n"/>
      <c r="O9" s="2" t="n"/>
      <c r="P9" s="2" t="n"/>
      <c r="Q9" s="15" t="n"/>
    </row>
    <row r="10">
      <c r="A10" s="20" t="n"/>
      <c r="B10" s="20" t="n"/>
      <c r="C10" s="22" t="n"/>
      <c r="D10" s="17" t="n"/>
      <c r="E10" s="17" t="n"/>
      <c r="F10" s="17" t="n"/>
      <c r="G10" s="17" t="n"/>
      <c r="H10" s="19" t="n"/>
      <c r="I10" s="19" t="n"/>
      <c r="J10" s="17" t="n"/>
      <c r="K10" s="2" t="n"/>
      <c r="L10" s="2" t="n"/>
      <c r="M10" s="2" t="n"/>
      <c r="N10" s="2" t="n"/>
      <c r="O10" s="2" t="n"/>
      <c r="P10" s="2" t="n"/>
      <c r="Q10" s="15" t="n"/>
    </row>
    <row r="11">
      <c r="A11" s="20" t="n"/>
      <c r="B11" s="20" t="n"/>
      <c r="C11" s="22" t="n"/>
      <c r="D11" s="17" t="n"/>
      <c r="E11" s="17" t="n"/>
      <c r="F11" s="17" t="n"/>
      <c r="G11" s="17" t="n"/>
      <c r="H11" s="19" t="n"/>
      <c r="I11" s="19" t="n"/>
      <c r="J11" s="17" t="n"/>
      <c r="K11" s="2" t="n"/>
      <c r="L11" s="2" t="n"/>
      <c r="M11" s="2" t="n"/>
      <c r="N11" s="2" t="n"/>
      <c r="O11" s="2" t="n"/>
      <c r="P11" s="2" t="n"/>
      <c r="Q11" s="15" t="n"/>
    </row>
    <row r="12">
      <c r="A12" s="20" t="n"/>
      <c r="B12" s="20" t="n"/>
      <c r="C12" s="22" t="n"/>
      <c r="D12" s="17" t="n"/>
      <c r="E12" s="17" t="n"/>
      <c r="F12" s="17" t="n"/>
      <c r="G12" s="17" t="n"/>
      <c r="H12" s="19" t="n"/>
      <c r="I12" s="19" t="n"/>
      <c r="J12" s="17" t="n"/>
      <c r="K12" s="2" t="n"/>
      <c r="L12" s="2" t="n"/>
      <c r="M12" s="2" t="n"/>
      <c r="N12" s="2" t="n"/>
      <c r="O12" s="2" t="n"/>
      <c r="P12" s="2" t="n"/>
      <c r="Q12" s="15" t="n"/>
    </row>
    <row r="13">
      <c r="A13" s="20" t="n"/>
      <c r="B13" s="20" t="n"/>
      <c r="C13" s="22" t="n"/>
      <c r="D13" s="17" t="n"/>
      <c r="E13" s="17" t="n"/>
      <c r="F13" s="17" t="n"/>
      <c r="G13" s="17" t="n"/>
      <c r="H13" s="19" t="n"/>
      <c r="I13" s="19" t="n"/>
      <c r="J13" s="17" t="n"/>
      <c r="K13" s="2" t="n"/>
      <c r="L13" s="2" t="n"/>
      <c r="M13" s="2" t="n"/>
      <c r="N13" s="2" t="n"/>
      <c r="O13" s="2" t="n"/>
      <c r="P13" s="2" t="n"/>
      <c r="Q13" s="15" t="n"/>
    </row>
    <row r="14">
      <c r="A14" s="20" t="n"/>
      <c r="B14" s="20" t="n"/>
      <c r="C14" s="22" t="n"/>
      <c r="D14" s="17" t="n"/>
      <c r="E14" s="17" t="n"/>
      <c r="F14" s="17" t="n"/>
      <c r="G14" s="17" t="n"/>
      <c r="H14" s="19" t="n"/>
      <c r="I14" s="19" t="n"/>
      <c r="J14" s="17" t="n"/>
      <c r="K14" s="2" t="n"/>
      <c r="L14" s="2" t="n"/>
      <c r="M14" s="2" t="n"/>
      <c r="N14" s="2" t="n"/>
      <c r="O14" s="2" t="n"/>
      <c r="P14" s="2" t="n"/>
      <c r="Q14" s="15" t="n"/>
    </row>
    <row r="15">
      <c r="A15" s="20" t="n"/>
      <c r="B15" s="20" t="n"/>
      <c r="C15" s="22" t="n"/>
      <c r="D15" s="17" t="n"/>
      <c r="E15" s="17" t="n"/>
      <c r="F15" s="17" t="n"/>
      <c r="G15" s="17" t="n"/>
      <c r="H15" s="19" t="n"/>
      <c r="I15" s="19" t="n"/>
      <c r="J15" s="17" t="n"/>
      <c r="K15" s="2" t="n"/>
      <c r="L15" s="2" t="n"/>
      <c r="M15" s="2" t="n"/>
      <c r="N15" s="2" t="n"/>
      <c r="O15" s="2" t="n"/>
      <c r="P15" s="2" t="n"/>
      <c r="Q15" s="15" t="n"/>
    </row>
    <row r="16">
      <c r="A16" s="20" t="n"/>
      <c r="B16" s="20" t="n"/>
      <c r="C16" s="22" t="n"/>
      <c r="D16" s="17" t="n"/>
      <c r="E16" s="17" t="n"/>
      <c r="F16" s="17" t="n"/>
      <c r="G16" s="17" t="n"/>
      <c r="H16" s="19" t="n"/>
      <c r="I16" s="19" t="n"/>
      <c r="J16" s="17" t="n"/>
      <c r="K16" s="2" t="n"/>
      <c r="L16" s="2" t="n"/>
      <c r="M16" s="2" t="n"/>
      <c r="N16" s="2" t="n"/>
      <c r="O16" s="2" t="n"/>
      <c r="P16" s="2" t="n"/>
      <c r="Q16" s="15" t="n"/>
    </row>
    <row r="17">
      <c r="A17" s="20" t="n"/>
      <c r="B17" s="20" t="n"/>
      <c r="C17" s="22" t="n"/>
      <c r="D17" s="17" t="n"/>
      <c r="E17" s="17" t="n"/>
      <c r="F17" s="17" t="n"/>
      <c r="G17" s="17" t="n"/>
      <c r="H17" s="19" t="n"/>
      <c r="I17" s="19" t="n"/>
      <c r="J17" s="17" t="n"/>
      <c r="K17" s="2" t="n"/>
      <c r="L17" s="2" t="n"/>
      <c r="M17" s="2" t="n"/>
      <c r="N17" s="2" t="n"/>
      <c r="O17" s="2" t="n"/>
      <c r="P17" s="2" t="n"/>
      <c r="Q17" s="15" t="n"/>
    </row>
    <row r="18">
      <c r="A18" s="20" t="n"/>
      <c r="B18" s="20" t="n"/>
      <c r="C18" s="22" t="n"/>
      <c r="D18" s="17" t="n"/>
      <c r="E18" s="17" t="n"/>
      <c r="F18" s="17" t="n"/>
      <c r="G18" s="17" t="n"/>
      <c r="H18" s="19" t="n"/>
      <c r="I18" s="19" t="n"/>
      <c r="J18" s="17" t="n"/>
      <c r="K18" s="2" t="n"/>
      <c r="L18" s="2" t="n"/>
      <c r="M18" s="2" t="n"/>
      <c r="N18" s="2" t="n"/>
      <c r="O18" s="2" t="n"/>
      <c r="P18" s="2" t="n"/>
      <c r="Q18" s="15" t="n"/>
    </row>
    <row r="19">
      <c r="A19" s="20" t="n"/>
      <c r="B19" s="20" t="n"/>
      <c r="C19" s="22" t="n"/>
      <c r="D19" s="17" t="n"/>
      <c r="E19" s="17" t="n"/>
      <c r="F19" s="17" t="n"/>
      <c r="G19" s="17" t="n"/>
      <c r="H19" s="19" t="n"/>
      <c r="I19" s="19" t="n"/>
      <c r="J19" s="17" t="n"/>
      <c r="K19" s="2" t="n"/>
      <c r="L19" s="2" t="n"/>
      <c r="M19" s="2" t="n"/>
      <c r="N19" s="2" t="n"/>
      <c r="O19" s="2" t="n"/>
      <c r="P19" s="2" t="n"/>
      <c r="Q19" s="15" t="n"/>
    </row>
    <row r="20">
      <c r="A20" s="20" t="n"/>
      <c r="B20" s="20" t="n"/>
      <c r="C20" s="22" t="n"/>
      <c r="D20" s="17" t="n"/>
      <c r="E20" s="17" t="n"/>
      <c r="F20" s="17" t="n"/>
      <c r="G20" s="17" t="n"/>
      <c r="H20" s="19" t="n"/>
      <c r="I20" s="19" t="n"/>
      <c r="J20" s="17" t="n"/>
      <c r="K20" s="2" t="n"/>
      <c r="L20" s="2" t="n"/>
      <c r="M20" s="2" t="n"/>
      <c r="N20" s="2" t="n"/>
      <c r="O20" s="2" t="n"/>
      <c r="P20" s="2" t="n"/>
      <c r="Q20" s="15" t="n"/>
    </row>
    <row r="21">
      <c r="A21" s="21" t="n"/>
      <c r="B21" s="21" t="n"/>
      <c r="C21" s="23" t="n"/>
      <c r="D21" s="18" t="n"/>
      <c r="E21" s="18" t="n"/>
      <c r="F21" s="18" t="n"/>
      <c r="G21" s="18" t="n"/>
      <c r="H21" s="21" t="n"/>
      <c r="I21" s="21" t="n"/>
      <c r="J21" s="18" t="n"/>
      <c r="K21" s="10" t="n"/>
      <c r="L21" s="10" t="n"/>
      <c r="M21" s="10" t="n"/>
      <c r="N21" s="10" t="n"/>
      <c r="O21" s="10" t="n"/>
      <c r="P21" s="2" t="n"/>
      <c r="Q21" s="15" t="n"/>
    </row>
    <row r="22">
      <c r="A22" s="20" t="n"/>
      <c r="B22" s="20" t="n"/>
      <c r="C22" s="22" t="n"/>
      <c r="D22" s="17" t="n"/>
      <c r="E22" s="17" t="n"/>
      <c r="F22" s="17" t="n"/>
      <c r="G22" s="17" t="n"/>
      <c r="H22" s="19" t="n"/>
      <c r="I22" s="19" t="n"/>
      <c r="J22" s="17" t="n"/>
      <c r="K22" s="2" t="n"/>
      <c r="L22" s="2" t="n"/>
      <c r="M22" s="2" t="n"/>
      <c r="N22" s="2" t="n"/>
      <c r="O22" s="2" t="n"/>
      <c r="P22" s="2" t="n"/>
      <c r="Q22" s="15" t="n"/>
    </row>
    <row r="23">
      <c r="A23" s="20" t="n"/>
      <c r="B23" s="20" t="n"/>
      <c r="C23" s="22" t="n"/>
      <c r="D23" s="17" t="n"/>
      <c r="E23" s="17" t="n"/>
      <c r="F23" s="17" t="n"/>
      <c r="G23" s="17" t="n"/>
      <c r="H23" s="19" t="n"/>
      <c r="I23" s="19" t="n"/>
      <c r="J23" s="17" t="n"/>
      <c r="K23" s="2" t="n"/>
      <c r="L23" s="2" t="n"/>
      <c r="M23" s="2" t="n"/>
      <c r="N23" s="2" t="n"/>
      <c r="O23" s="2" t="n"/>
      <c r="P23" s="2" t="n"/>
      <c r="Q23" s="15" t="n"/>
    </row>
    <row r="24">
      <c r="A24" s="20" t="n"/>
      <c r="B24" s="20" t="n"/>
      <c r="C24" s="22" t="n"/>
      <c r="D24" s="17" t="n"/>
      <c r="E24" s="17" t="n"/>
      <c r="F24" s="17" t="n"/>
      <c r="G24" s="17" t="n"/>
      <c r="H24" s="19" t="n"/>
      <c r="I24" s="19" t="n"/>
      <c r="J24" s="17" t="n"/>
      <c r="K24" s="2" t="n"/>
      <c r="L24" s="2" t="n"/>
      <c r="M24" s="2" t="n"/>
      <c r="N24" s="2" t="n"/>
      <c r="O24" s="2" t="n"/>
      <c r="P24" s="2" t="n"/>
      <c r="Q24" s="15" t="n"/>
    </row>
    <row r="25">
      <c r="A25" s="20" t="n"/>
      <c r="B25" s="20" t="n"/>
      <c r="C25" s="22" t="n"/>
      <c r="D25" s="17" t="n"/>
      <c r="E25" s="17" t="n"/>
      <c r="F25" s="17" t="n"/>
      <c r="G25" s="17" t="n"/>
      <c r="H25" s="19" t="n"/>
      <c r="I25" s="19" t="n"/>
      <c r="J25" s="17" t="n"/>
      <c r="K25" s="2" t="n"/>
      <c r="L25" s="2" t="n"/>
      <c r="M25" s="2" t="n"/>
      <c r="N25" s="2" t="n"/>
      <c r="O25" s="2" t="n"/>
      <c r="P25" s="2" t="n"/>
      <c r="Q25" s="15" t="n"/>
    </row>
    <row r="26">
      <c r="A26" s="20" t="n"/>
      <c r="B26" s="20" t="n"/>
      <c r="C26" s="22" t="n"/>
      <c r="D26" s="17" t="n"/>
      <c r="E26" s="17" t="n"/>
      <c r="F26" s="17" t="n"/>
      <c r="G26" s="17" t="n"/>
      <c r="H26" s="19" t="n"/>
      <c r="I26" s="19" t="n"/>
      <c r="J26" s="17" t="n"/>
      <c r="K26" s="2" t="n"/>
      <c r="L26" s="2" t="n"/>
      <c r="M26" s="2" t="n"/>
      <c r="N26" s="2" t="n"/>
      <c r="O26" s="2" t="n"/>
      <c r="P26" s="2" t="n"/>
      <c r="Q26" s="15" t="n"/>
    </row>
    <row r="27">
      <c r="A27" s="20" t="n"/>
      <c r="B27" s="20" t="n"/>
      <c r="C27" s="22" t="n"/>
      <c r="D27" s="17" t="n"/>
      <c r="E27" s="17" t="n"/>
      <c r="F27" s="17" t="n"/>
      <c r="G27" s="17" t="n"/>
      <c r="H27" s="19" t="n"/>
      <c r="I27" s="19" t="n"/>
      <c r="J27" s="17" t="n"/>
      <c r="K27" s="2" t="n"/>
      <c r="L27" s="2" t="n"/>
      <c r="M27" s="2" t="n"/>
      <c r="N27" s="2" t="n"/>
      <c r="O27" s="2" t="n"/>
      <c r="P27" s="2" t="n"/>
      <c r="Q27" s="15" t="n"/>
    </row>
    <row r="28">
      <c r="A28" s="20" t="n"/>
      <c r="B28" s="20" t="n"/>
      <c r="C28" s="22" t="n"/>
      <c r="D28" s="17" t="n"/>
      <c r="E28" s="17" t="n"/>
      <c r="F28" s="17" t="n"/>
      <c r="G28" s="17" t="n"/>
      <c r="H28" s="19" t="n"/>
      <c r="I28" s="19" t="n"/>
      <c r="J28" s="17" t="n"/>
      <c r="K28" s="2" t="n"/>
      <c r="L28" s="2" t="n"/>
      <c r="M28" s="2" t="n"/>
      <c r="N28" s="2" t="n"/>
      <c r="O28" s="2" t="n"/>
      <c r="P28" s="2" t="n"/>
      <c r="Q28" s="15" t="n"/>
    </row>
    <row r="29">
      <c r="A29" s="20" t="n"/>
      <c r="B29" s="20" t="n"/>
      <c r="C29" s="22" t="n"/>
      <c r="D29" s="17" t="n"/>
      <c r="E29" s="17" t="n"/>
      <c r="F29" s="17" t="n"/>
      <c r="G29" s="17" t="n"/>
      <c r="H29" s="19" t="n"/>
      <c r="I29" s="19" t="n"/>
      <c r="J29" s="17" t="n"/>
      <c r="K29" s="2" t="n"/>
      <c r="L29" s="2" t="n"/>
      <c r="M29" s="2" t="n"/>
      <c r="N29" s="2" t="n"/>
      <c r="O29" s="2" t="n"/>
      <c r="P29" s="2" t="n"/>
      <c r="Q29" s="15" t="n"/>
    </row>
    <row r="30">
      <c r="A30" s="20" t="n"/>
      <c r="B30" s="20" t="n"/>
      <c r="C30" s="22" t="n"/>
      <c r="D30" s="17" t="n"/>
      <c r="E30" s="17" t="n"/>
      <c r="F30" s="17" t="n"/>
      <c r="G30" s="17" t="n"/>
      <c r="H30" s="19" t="n"/>
      <c r="I30" s="19" t="n"/>
      <c r="J30" s="17" t="n"/>
      <c r="K30" s="2" t="n"/>
      <c r="L30" s="2" t="n"/>
      <c r="M30" s="2" t="n"/>
      <c r="N30" s="2" t="n"/>
      <c r="O30" s="2" t="n"/>
      <c r="P30" s="2" t="n"/>
      <c r="Q30" s="15" t="n"/>
    </row>
    <row r="31">
      <c r="A31" s="20" t="n"/>
      <c r="B31" s="20" t="n"/>
      <c r="C31" s="22" t="n"/>
      <c r="D31" s="17" t="n"/>
      <c r="E31" s="17" t="n"/>
      <c r="F31" s="17" t="n"/>
      <c r="G31" s="17" t="n"/>
      <c r="H31" s="19" t="n"/>
      <c r="I31" s="19" t="n"/>
      <c r="J31" s="17" t="n"/>
      <c r="K31" s="2" t="n"/>
      <c r="L31" s="2" t="n"/>
      <c r="M31" s="2" t="n"/>
      <c r="N31" s="2" t="n"/>
      <c r="O31" s="2" t="n"/>
      <c r="P31" s="2" t="n"/>
      <c r="Q31" s="15" t="n"/>
    </row>
    <row r="32">
      <c r="A32" s="20" t="n"/>
      <c r="B32" s="20" t="n"/>
      <c r="C32" s="22" t="n"/>
      <c r="D32" s="17" t="n"/>
      <c r="E32" s="17" t="n"/>
      <c r="F32" s="17" t="n"/>
      <c r="G32" s="17" t="n"/>
      <c r="H32" s="19" t="n"/>
      <c r="I32" s="19" t="n"/>
      <c r="J32" s="17" t="n"/>
      <c r="K32" s="2" t="n"/>
      <c r="L32" s="2" t="n"/>
      <c r="M32" s="2" t="n"/>
      <c r="N32" s="2" t="n"/>
      <c r="O32" s="2" t="n"/>
      <c r="P32" s="2" t="n"/>
      <c r="Q32" s="15" t="n"/>
    </row>
    <row r="33">
      <c r="A33" s="20" t="n"/>
      <c r="B33" s="20" t="n"/>
      <c r="C33" s="22" t="n"/>
      <c r="D33" s="17" t="n"/>
      <c r="E33" s="17" t="n"/>
      <c r="F33" s="17" t="n"/>
      <c r="G33" s="17" t="n"/>
      <c r="H33" s="19" t="n"/>
      <c r="I33" s="19" t="n"/>
      <c r="J33" s="17" t="n"/>
      <c r="K33" s="2" t="n"/>
      <c r="L33" s="2" t="n"/>
      <c r="M33" s="2" t="n"/>
      <c r="N33" s="2" t="n"/>
      <c r="O33" s="2" t="n"/>
      <c r="P33" s="2" t="n"/>
      <c r="Q33" s="15" t="n"/>
    </row>
    <row r="34">
      <c r="A34" s="20" t="n"/>
      <c r="B34" s="20" t="n"/>
      <c r="C34" s="22" t="n"/>
      <c r="D34" s="17" t="n"/>
      <c r="E34" s="17" t="n"/>
      <c r="F34" s="17" t="n"/>
      <c r="G34" s="17" t="n"/>
      <c r="H34" s="19" t="n"/>
      <c r="I34" s="19" t="n"/>
      <c r="J34" s="17" t="n"/>
      <c r="K34" s="2" t="n"/>
      <c r="L34" s="2" t="n"/>
      <c r="M34" s="2" t="n"/>
      <c r="N34" s="2" t="n"/>
      <c r="O34" s="2" t="n"/>
      <c r="P34" s="2" t="n"/>
      <c r="Q34" s="15" t="n"/>
    </row>
    <row r="35">
      <c r="A35" s="20" t="n"/>
      <c r="B35" s="20" t="n"/>
      <c r="C35" s="22" t="n"/>
      <c r="D35" s="17" t="n"/>
      <c r="E35" s="17" t="n"/>
      <c r="F35" s="17" t="n"/>
      <c r="G35" s="17" t="n"/>
      <c r="H35" s="19" t="n"/>
      <c r="I35" s="19" t="n"/>
      <c r="J35" s="17" t="n"/>
      <c r="K35" s="2" t="n"/>
      <c r="L35" s="2" t="n"/>
      <c r="M35" s="2" t="n"/>
      <c r="N35" s="2" t="n"/>
      <c r="O35" s="2" t="n"/>
      <c r="P35" s="2" t="n"/>
      <c r="Q35" s="15" t="n"/>
    </row>
    <row r="36">
      <c r="A36" s="20" t="n"/>
      <c r="B36" s="20" t="n"/>
      <c r="C36" s="22" t="n"/>
      <c r="D36" s="17" t="n"/>
      <c r="E36" s="17" t="n"/>
      <c r="F36" s="17" t="n"/>
      <c r="G36" s="17" t="n"/>
      <c r="H36" s="19" t="n"/>
      <c r="I36" s="19" t="n"/>
      <c r="J36" s="17" t="n"/>
      <c r="K36" s="2" t="n"/>
      <c r="L36" s="2" t="n"/>
      <c r="M36" s="2" t="n"/>
      <c r="N36" s="2" t="n"/>
      <c r="O36" s="2" t="n"/>
      <c r="P36" s="2" t="n"/>
      <c r="Q36" s="15" t="n"/>
    </row>
    <row r="37">
      <c r="A37" s="20" t="n"/>
      <c r="B37" s="20" t="n"/>
      <c r="C37" s="22" t="n"/>
      <c r="D37" s="17" t="n"/>
      <c r="E37" s="17" t="n"/>
      <c r="F37" s="17" t="n"/>
      <c r="G37" s="17" t="n"/>
      <c r="H37" s="19" t="n"/>
      <c r="I37" s="19" t="n"/>
      <c r="J37" s="17" t="n"/>
      <c r="K37" s="2" t="n"/>
      <c r="L37" s="2" t="n"/>
      <c r="M37" s="2" t="n"/>
      <c r="N37" s="2" t="n"/>
      <c r="O37" s="2" t="n"/>
      <c r="P37" s="2" t="n"/>
      <c r="Q37" s="15" t="n"/>
    </row>
    <row r="38">
      <c r="A38" s="20" t="n"/>
      <c r="B38" s="20" t="n"/>
      <c r="C38" s="22" t="n"/>
      <c r="D38" s="17" t="n"/>
      <c r="E38" s="17" t="n"/>
      <c r="F38" s="17" t="n"/>
      <c r="G38" s="17" t="n"/>
      <c r="H38" s="19" t="n"/>
      <c r="I38" s="19" t="n"/>
      <c r="J38" s="17" t="n"/>
      <c r="K38" s="2" t="n"/>
      <c r="L38" s="2" t="n"/>
      <c r="M38" s="2" t="n"/>
      <c r="N38" s="2" t="n"/>
      <c r="O38" s="2" t="n"/>
      <c r="P38" s="2" t="n"/>
      <c r="Q38" s="15" t="n"/>
    </row>
    <row r="39">
      <c r="A39" s="20" t="n"/>
      <c r="B39" s="20" t="n"/>
      <c r="C39" s="22" t="n"/>
      <c r="D39" s="17" t="n"/>
      <c r="E39" s="17" t="n"/>
      <c r="F39" s="17" t="n"/>
      <c r="G39" s="17" t="n"/>
      <c r="H39" s="19" t="n"/>
      <c r="I39" s="19" t="n"/>
      <c r="J39" s="17" t="n"/>
      <c r="K39" s="2" t="n"/>
      <c r="L39" s="2" t="n"/>
      <c r="M39" s="2" t="n"/>
      <c r="N39" s="2" t="n"/>
      <c r="O39" s="2" t="n"/>
      <c r="P39" s="2" t="n"/>
      <c r="Q39" s="15" t="n"/>
    </row>
    <row r="40">
      <c r="A40" s="20" t="n"/>
      <c r="B40" s="20" t="n"/>
      <c r="C40" s="22" t="n"/>
      <c r="D40" s="17" t="n"/>
      <c r="E40" s="17" t="n"/>
      <c r="F40" s="17" t="n"/>
      <c r="G40" s="17" t="n"/>
      <c r="H40" s="19" t="n"/>
      <c r="I40" s="19" t="n"/>
      <c r="J40" s="17" t="n"/>
      <c r="K40" s="2" t="n"/>
      <c r="L40" s="2" t="n"/>
      <c r="M40" s="2" t="n"/>
      <c r="N40" s="2" t="n"/>
      <c r="O40" s="2" t="n"/>
      <c r="P40" s="2" t="n"/>
      <c r="Q40" s="15" t="n"/>
    </row>
    <row r="41">
      <c r="A41" s="20" t="n"/>
      <c r="B41" s="20" t="n"/>
      <c r="C41" s="22" t="n"/>
      <c r="D41" s="17" t="n"/>
      <c r="E41" s="17" t="n"/>
      <c r="F41" s="17" t="n"/>
      <c r="G41" s="17" t="n"/>
      <c r="H41" s="19" t="n"/>
      <c r="I41" s="19" t="n"/>
      <c r="J41" s="17" t="n"/>
      <c r="K41" s="2" t="n"/>
      <c r="L41" s="2" t="n"/>
      <c r="M41" s="2" t="n"/>
      <c r="N41" s="2" t="n"/>
      <c r="O41" s="2" t="n"/>
      <c r="P41" s="2" t="n"/>
      <c r="Q41" s="15" t="n"/>
    </row>
    <row r="42">
      <c r="A42" s="20" t="n"/>
      <c r="B42" s="20" t="n"/>
      <c r="C42" s="22" t="n"/>
      <c r="D42" s="17" t="n"/>
      <c r="E42" s="17" t="n"/>
      <c r="F42" s="17" t="n"/>
      <c r="G42" s="17" t="n"/>
      <c r="H42" s="19" t="n"/>
      <c r="I42" s="19" t="n"/>
      <c r="J42" s="17" t="n"/>
      <c r="K42" s="2" t="n"/>
      <c r="L42" s="2" t="n"/>
      <c r="M42" s="2" t="n"/>
      <c r="N42" s="2" t="n"/>
      <c r="O42" s="2" t="n"/>
      <c r="P42" s="2" t="n"/>
      <c r="Q42" s="15" t="n"/>
    </row>
    <row r="43">
      <c r="A43" s="20" t="n"/>
      <c r="B43" s="20" t="n"/>
      <c r="C43" s="22" t="n"/>
      <c r="D43" s="17" t="n"/>
      <c r="E43" s="17" t="n"/>
      <c r="F43" s="17" t="n"/>
      <c r="G43" s="17" t="n"/>
      <c r="H43" s="19" t="n"/>
      <c r="I43" s="19" t="n"/>
      <c r="J43" s="17" t="n"/>
      <c r="K43" s="2" t="n"/>
      <c r="L43" s="2" t="n"/>
      <c r="M43" s="2" t="n"/>
      <c r="N43" s="2" t="n"/>
      <c r="O43" s="2" t="n"/>
      <c r="P43" s="2" t="n"/>
      <c r="Q43" s="15" t="n"/>
    </row>
    <row r="44">
      <c r="A44" s="20" t="n"/>
      <c r="B44" s="20" t="n"/>
      <c r="C44" s="22" t="n"/>
      <c r="D44" s="17" t="n"/>
      <c r="E44" s="17" t="n"/>
      <c r="F44" s="17" t="n"/>
      <c r="G44" s="17" t="n"/>
      <c r="H44" s="19" t="n"/>
      <c r="I44" s="19" t="n"/>
      <c r="J44" s="17" t="n"/>
      <c r="K44" s="2" t="n"/>
      <c r="L44" s="2" t="n"/>
      <c r="M44" s="2" t="n"/>
      <c r="N44" s="2" t="n"/>
      <c r="O44" s="2" t="n"/>
      <c r="P44" s="2" t="n"/>
      <c r="Q44" s="15" t="n"/>
    </row>
    <row r="45">
      <c r="A45" s="20" t="n"/>
      <c r="B45" s="20" t="n"/>
      <c r="C45" s="22" t="n"/>
      <c r="D45" s="17" t="n"/>
      <c r="E45" s="17" t="n"/>
      <c r="F45" s="17" t="n"/>
      <c r="G45" s="17" t="n"/>
      <c r="H45" s="19" t="n"/>
      <c r="I45" s="19" t="n"/>
      <c r="J45" s="17" t="n"/>
      <c r="K45" s="2" t="n"/>
      <c r="L45" s="2" t="n"/>
      <c r="M45" s="2" t="n"/>
      <c r="N45" s="2" t="n"/>
      <c r="O45" s="2" t="n"/>
      <c r="P45" s="2" t="n"/>
      <c r="Q45" s="15" t="n"/>
    </row>
    <row r="46">
      <c r="A46" s="20" t="n"/>
      <c r="B46" s="20" t="n"/>
      <c r="C46" s="22" t="n"/>
      <c r="D46" s="17" t="n"/>
      <c r="E46" s="17" t="n"/>
      <c r="F46" s="17" t="n"/>
      <c r="G46" s="17" t="n"/>
      <c r="H46" s="19" t="n"/>
      <c r="I46" s="19" t="n"/>
      <c r="J46" s="17" t="n"/>
      <c r="K46" s="2" t="n"/>
      <c r="L46" s="2" t="n"/>
      <c r="M46" s="2" t="n"/>
      <c r="N46" s="2" t="n"/>
      <c r="O46" s="2" t="n"/>
      <c r="P46" s="2" t="n"/>
      <c r="Q46" s="15" t="n"/>
    </row>
    <row r="47">
      <c r="A47" s="20" t="n"/>
      <c r="B47" s="20" t="n"/>
      <c r="C47" s="22" t="n"/>
      <c r="D47" s="17" t="n"/>
      <c r="E47" s="17" t="n"/>
      <c r="F47" s="17" t="n"/>
      <c r="G47" s="17" t="n"/>
      <c r="H47" s="19" t="n"/>
      <c r="I47" s="19" t="n"/>
      <c r="J47" s="17" t="n"/>
      <c r="K47" s="2" t="n"/>
      <c r="L47" s="2" t="n"/>
      <c r="M47" s="2" t="n"/>
      <c r="N47" s="2" t="n"/>
      <c r="O47" s="2" t="n"/>
      <c r="P47" s="2" t="n"/>
      <c r="Q47" s="15" t="n"/>
    </row>
    <row r="48">
      <c r="A48" s="20" t="n"/>
      <c r="B48" s="20" t="n"/>
      <c r="C48" s="22" t="n"/>
      <c r="D48" s="17" t="n"/>
      <c r="E48" s="17" t="n"/>
      <c r="F48" s="17" t="n"/>
      <c r="G48" s="17" t="n"/>
      <c r="H48" s="19" t="n"/>
      <c r="I48" s="19" t="n"/>
      <c r="J48" s="17" t="n"/>
      <c r="K48" s="2" t="n"/>
      <c r="L48" s="2" t="n"/>
      <c r="M48" s="2" t="n"/>
      <c r="N48" s="2" t="n"/>
      <c r="O48" s="2" t="n"/>
      <c r="P48" s="2" t="n"/>
      <c r="Q48" s="15" t="n"/>
    </row>
    <row r="49">
      <c r="A49" s="20" t="n"/>
      <c r="B49" s="20" t="n"/>
      <c r="C49" s="22" t="n"/>
      <c r="D49" s="17" t="n"/>
      <c r="E49" s="17" t="n"/>
      <c r="F49" s="17" t="n"/>
      <c r="G49" s="17" t="n"/>
      <c r="H49" s="19" t="n"/>
      <c r="I49" s="19" t="n"/>
      <c r="J49" s="17" t="n"/>
      <c r="K49" s="2" t="n"/>
      <c r="L49" s="2" t="n"/>
      <c r="M49" s="2" t="n"/>
      <c r="N49" s="2" t="n"/>
      <c r="O49" s="2" t="n"/>
      <c r="P49" s="2" t="n"/>
      <c r="Q49" s="15" t="n"/>
    </row>
    <row r="50">
      <c r="A50" s="20" t="n"/>
      <c r="B50" s="20" t="n"/>
      <c r="C50" s="22" t="n"/>
      <c r="D50" s="17" t="n"/>
      <c r="E50" s="17" t="n"/>
      <c r="F50" s="17" t="n"/>
      <c r="G50" s="17" t="n"/>
      <c r="H50" s="19" t="n"/>
      <c r="I50" s="19" t="n"/>
      <c r="J50" s="17" t="n"/>
      <c r="K50" s="2" t="n"/>
      <c r="L50" s="2" t="n"/>
      <c r="M50" s="2" t="n"/>
      <c r="N50" s="2" t="n"/>
      <c r="O50" s="2" t="n"/>
      <c r="P50" s="2" t="n"/>
      <c r="Q50" s="15" t="n"/>
    </row>
    <row r="51">
      <c r="A51" s="20" t="n"/>
      <c r="B51" s="20" t="n"/>
      <c r="C51" s="22" t="n"/>
      <c r="D51" s="17" t="n"/>
      <c r="E51" s="17" t="n"/>
      <c r="F51" s="17" t="n"/>
      <c r="G51" s="17" t="n"/>
      <c r="H51" s="19" t="n"/>
      <c r="I51" s="19" t="n"/>
      <c r="J51" s="17" t="n"/>
      <c r="K51" s="2" t="n"/>
      <c r="L51" s="2" t="n"/>
      <c r="M51" s="2" t="n"/>
      <c r="N51" s="2" t="n"/>
      <c r="O51" s="2" t="n"/>
      <c r="P51" s="2" t="n"/>
      <c r="Q51" s="15" t="n"/>
    </row>
    <row r="52">
      <c r="A52" s="20" t="n"/>
      <c r="B52" s="20" t="n"/>
      <c r="C52" s="22" t="n"/>
      <c r="D52" s="17" t="n"/>
      <c r="E52" s="17" t="n"/>
      <c r="F52" s="17" t="n"/>
      <c r="G52" s="17" t="n"/>
      <c r="H52" s="19" t="n"/>
      <c r="I52" s="19" t="n"/>
      <c r="J52" s="17" t="n"/>
      <c r="K52" s="2" t="n"/>
      <c r="L52" s="2" t="n"/>
      <c r="M52" s="2" t="n"/>
      <c r="N52" s="2" t="n"/>
      <c r="O52" s="2" t="n"/>
      <c r="P52" s="2" t="n"/>
      <c r="Q52" s="15" t="n"/>
    </row>
    <row r="53">
      <c r="A53" s="20" t="n"/>
      <c r="B53" s="20" t="n"/>
      <c r="C53" s="22" t="n"/>
      <c r="D53" s="17" t="n"/>
      <c r="E53" s="17" t="n"/>
      <c r="F53" s="17" t="n"/>
      <c r="G53" s="17" t="n"/>
      <c r="H53" s="19" t="n"/>
      <c r="I53" s="19" t="n"/>
      <c r="J53" s="17" t="n"/>
      <c r="K53" s="2" t="n"/>
      <c r="L53" s="2" t="n"/>
      <c r="M53" s="2" t="n"/>
      <c r="N53" s="2" t="n"/>
      <c r="O53" s="2" t="n"/>
      <c r="P53" s="2" t="n"/>
      <c r="Q53" s="15" t="n"/>
    </row>
    <row r="54">
      <c r="A54" s="20" t="n"/>
      <c r="B54" s="20" t="n"/>
      <c r="C54" s="22" t="n"/>
      <c r="D54" s="17" t="n"/>
      <c r="E54" s="17" t="n"/>
      <c r="F54" s="17" t="n"/>
      <c r="G54" s="17" t="n"/>
      <c r="H54" s="19" t="n"/>
      <c r="I54" s="19" t="n"/>
      <c r="J54" s="17" t="n"/>
      <c r="K54" s="2" t="n"/>
      <c r="L54" s="2" t="n"/>
      <c r="M54" s="2" t="n"/>
      <c r="N54" s="2" t="n"/>
      <c r="O54" s="2" t="n"/>
      <c r="P54" s="2" t="n"/>
      <c r="Q54" s="15" t="n"/>
    </row>
    <row r="55">
      <c r="A55" s="20" t="n"/>
      <c r="B55" s="20" t="n"/>
      <c r="C55" s="22" t="n"/>
      <c r="D55" s="17" t="n"/>
      <c r="E55" s="17" t="n"/>
      <c r="F55" s="17" t="n"/>
      <c r="G55" s="17" t="n"/>
      <c r="H55" s="19" t="n"/>
      <c r="I55" s="19" t="n"/>
      <c r="J55" s="17" t="n"/>
      <c r="K55" s="2" t="n"/>
      <c r="L55" s="2" t="n"/>
      <c r="M55" s="2" t="n"/>
      <c r="N55" s="2" t="n"/>
      <c r="O55" s="2" t="n"/>
      <c r="P55" s="2" t="n"/>
      <c r="Q55" s="15" t="n"/>
    </row>
    <row r="56">
      <c r="A56" s="20" t="n"/>
      <c r="B56" s="20" t="n"/>
      <c r="C56" s="22" t="n"/>
      <c r="D56" s="17" t="n"/>
      <c r="E56" s="17" t="n"/>
      <c r="F56" s="17" t="n"/>
      <c r="G56" s="17" t="n"/>
      <c r="H56" s="19" t="n"/>
      <c r="I56" s="19" t="n"/>
      <c r="J56" s="17" t="n"/>
      <c r="K56" s="2" t="n"/>
      <c r="L56" s="2" t="n"/>
      <c r="M56" s="2" t="n"/>
      <c r="N56" s="2" t="n"/>
      <c r="O56" s="2" t="n"/>
      <c r="P56" s="2" t="n"/>
      <c r="Q56" s="15" t="n"/>
    </row>
    <row r="57">
      <c r="A57" s="20" t="n"/>
      <c r="B57" s="20" t="n"/>
      <c r="C57" s="22" t="n"/>
      <c r="D57" s="17" t="n"/>
      <c r="E57" s="17" t="n"/>
      <c r="F57" s="17" t="n"/>
      <c r="G57" s="17" t="n"/>
      <c r="H57" s="19" t="n"/>
      <c r="I57" s="19" t="n"/>
      <c r="J57" s="17" t="n"/>
      <c r="K57" s="2" t="n"/>
      <c r="L57" s="2" t="n"/>
      <c r="M57" s="2" t="n"/>
      <c r="N57" s="2" t="n"/>
      <c r="O57" s="2" t="n"/>
      <c r="P57" s="2" t="n"/>
      <c r="Q57" s="15"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codeName="Sheet6">
    <outlinePr summaryBelow="1" summaryRight="1"/>
    <pageSetUpPr/>
  </sheetPr>
  <dimension ref="A1:F1"/>
  <sheetViews>
    <sheetView workbookViewId="0">
      <selection activeCell="A2" sqref="A2"/>
    </sheetView>
  </sheetViews>
  <sheetFormatPr baseColWidth="8" defaultRowHeight="14.5"/>
  <cols>
    <col width="8.7265625" customWidth="1" style="14" min="1" max="4"/>
  </cols>
  <sheetData>
    <row r="1">
      <c r="A1" s="14" t="inlineStr">
        <is>
          <t>Strategy</t>
        </is>
      </c>
      <c r="B1" s="14" t="inlineStr">
        <is>
          <t>Total Trades</t>
        </is>
      </c>
      <c r="C1" s="14" t="inlineStr">
        <is>
          <t>Profit</t>
        </is>
      </c>
      <c r="D1" s="14" t="inlineStr">
        <is>
          <t>Losses</t>
        </is>
      </c>
      <c r="E1" t="inlineStr">
        <is>
          <t>Profit Factor</t>
        </is>
      </c>
      <c r="F1" t="inlineStr">
        <is>
          <t>Average Return</t>
        </is>
      </c>
    </row>
  </sheetData>
  <pageMargins left="0.7" right="0.7" top="0.75" bottom="0.75" header="0.3" footer="0.3"/>
  <pageSetup orientation="portrait" paperSize="9"/>
</worksheet>
</file>

<file path=xl/worksheets/sheet8.xml><?xml version="1.0" encoding="utf-8"?>
<worksheet xmlns="http://schemas.openxmlformats.org/spreadsheetml/2006/main">
  <sheetPr codeName="Sheet7">
    <tabColor rgb="FF92D050"/>
    <outlinePr summaryBelow="1" summaryRight="1"/>
    <pageSetUpPr/>
  </sheetPr>
  <dimension ref="A1:L16"/>
  <sheetViews>
    <sheetView workbookViewId="0">
      <selection activeCell="A9" sqref="A9"/>
    </sheetView>
  </sheetViews>
  <sheetFormatPr baseColWidth="8" defaultRowHeight="14.5"/>
  <cols>
    <col width="18.90625" customWidth="1" min="1" max="1"/>
  </cols>
  <sheetData>
    <row r="1">
      <c r="A1" s="1" t="inlineStr">
        <is>
          <t>Journal</t>
        </is>
      </c>
    </row>
    <row r="2">
      <c r="A2" t="inlineStr">
        <is>
          <t>Direction/Sentiment</t>
        </is>
      </c>
      <c r="B2" t="inlineStr">
        <is>
          <t>Bullish</t>
        </is>
      </c>
      <c r="C2" t="inlineStr">
        <is>
          <t>Bearish</t>
        </is>
      </c>
    </row>
    <row r="3">
      <c r="A3" t="inlineStr">
        <is>
          <t>Sentiment Type</t>
        </is>
      </c>
      <c r="B3" t="inlineStr">
        <is>
          <t>Technical</t>
        </is>
      </c>
      <c r="C3" t="inlineStr">
        <is>
          <t>Fundamental</t>
        </is>
      </c>
    </row>
    <row r="4">
      <c r="A4" t="inlineStr">
        <is>
          <t>Governing Pattern</t>
        </is>
      </c>
      <c r="B4" t="inlineStr">
        <is>
          <t>HnS</t>
        </is>
      </c>
      <c r="C4" t="inlineStr">
        <is>
          <t>Cup</t>
        </is>
      </c>
      <c r="D4" t="inlineStr">
        <is>
          <t>Inverted HnS</t>
        </is>
      </c>
      <c r="E4" t="inlineStr">
        <is>
          <t>Inverted Cup</t>
        </is>
      </c>
      <c r="F4" t="inlineStr">
        <is>
          <t>Bullish Pennant</t>
        </is>
      </c>
      <c r="G4" t="inlineStr">
        <is>
          <t>Bearish Pennant</t>
        </is>
      </c>
      <c r="H4" t="inlineStr">
        <is>
          <t>Double Top</t>
        </is>
      </c>
      <c r="I4" t="inlineStr">
        <is>
          <t>Triple Top</t>
        </is>
      </c>
      <c r="J4" t="inlineStr">
        <is>
          <t>Double Bottom</t>
        </is>
      </c>
      <c r="K4" t="inlineStr">
        <is>
          <t>Triple Bottom</t>
        </is>
      </c>
      <c r="L4" t="inlineStr">
        <is>
          <t>Auto Algo Line Daily</t>
        </is>
      </c>
    </row>
    <row r="5">
      <c r="A5" t="inlineStr">
        <is>
          <t>14D Retro</t>
        </is>
      </c>
      <c r="B5" t="inlineStr">
        <is>
          <t>Win</t>
        </is>
      </c>
      <c r="C5" t="inlineStr">
        <is>
          <t>Lose</t>
        </is>
      </c>
      <c r="D5" t="inlineStr">
        <is>
          <t>Mixed</t>
        </is>
      </c>
      <c r="E5" t="inlineStr">
        <is>
          <t>NA</t>
        </is>
      </c>
    </row>
    <row r="7">
      <c r="A7" s="1" t="inlineStr">
        <is>
          <t>Ideas</t>
        </is>
      </c>
    </row>
    <row r="8">
      <c r="A8" t="inlineStr">
        <is>
          <t>Sourced</t>
        </is>
      </c>
      <c r="B8" t="inlineStr">
        <is>
          <t>Watchlist</t>
        </is>
      </c>
      <c r="C8" t="inlineStr">
        <is>
          <t>MACD Scanner</t>
        </is>
      </c>
      <c r="D8" t="inlineStr">
        <is>
          <t>VTR Scanner</t>
        </is>
      </c>
      <c r="E8" t="inlineStr">
        <is>
          <t>Relative Daily scanner</t>
        </is>
      </c>
      <c r="F8" t="inlineStr">
        <is>
          <t>BTD Scanner</t>
        </is>
      </c>
      <c r="G8" t="inlineStr">
        <is>
          <t>Ideas</t>
        </is>
      </c>
    </row>
    <row r="9">
      <c r="A9" t="inlineStr">
        <is>
          <t>Trade Direction</t>
        </is>
      </c>
      <c r="B9" t="inlineStr">
        <is>
          <t>Long</t>
        </is>
      </c>
      <c r="C9" t="inlineStr">
        <is>
          <t>Short</t>
        </is>
      </c>
    </row>
    <row r="10">
      <c r="A10" t="inlineStr">
        <is>
          <t>Strategy</t>
        </is>
      </c>
      <c r="B10" t="inlineStr">
        <is>
          <t>Rich SPY Trading</t>
        </is>
      </c>
      <c r="C10" t="inlineStr">
        <is>
          <t>Cloud System Swings 1hr</t>
        </is>
      </c>
      <c r="D10" t="inlineStr">
        <is>
          <t>Cloud System Swings Daily</t>
        </is>
      </c>
      <c r="E10" t="inlineStr">
        <is>
          <t>Cloud System DT</t>
        </is>
      </c>
      <c r="F10" t="inlineStr">
        <is>
          <t>Cloud System DT Variant</t>
        </is>
      </c>
      <c r="G10" t="inlineStr">
        <is>
          <t>Strong Swings</t>
        </is>
      </c>
      <c r="H10" t="inlineStr">
        <is>
          <t>Strong Level Quick Trades</t>
        </is>
      </c>
      <c r="I10" t="inlineStr">
        <is>
          <t>Trend 10 min Trades</t>
        </is>
      </c>
      <c r="J10" t="inlineStr">
        <is>
          <t>Zack Morris SPY trades</t>
        </is>
      </c>
      <c r="K10" t="inlineStr">
        <is>
          <t>Rich Stock Swings</t>
        </is>
      </c>
    </row>
    <row r="11">
      <c r="A11" t="inlineStr">
        <is>
          <t>1hr Cloud</t>
        </is>
      </c>
      <c r="B11" t="inlineStr">
        <is>
          <t>Above</t>
        </is>
      </c>
      <c r="C11" t="inlineStr">
        <is>
          <t>Below</t>
        </is>
      </c>
    </row>
    <row r="12">
      <c r="A12" t="inlineStr">
        <is>
          <t>Quality</t>
        </is>
      </c>
      <c r="B12" t="inlineStr">
        <is>
          <t>LQ</t>
        </is>
      </c>
      <c r="C12" t="inlineStr">
        <is>
          <t>MQ</t>
        </is>
      </c>
      <c r="D12" t="inlineStr">
        <is>
          <t>HQ</t>
        </is>
      </c>
    </row>
    <row r="13">
      <c r="A13" t="inlineStr">
        <is>
          <t>Filter</t>
        </is>
      </c>
      <c r="B13" t="inlineStr">
        <is>
          <t>Open</t>
        </is>
      </c>
      <c r="C13" t="inlineStr">
        <is>
          <t>Taken</t>
        </is>
      </c>
      <c r="D13" t="inlineStr">
        <is>
          <t>Expired</t>
        </is>
      </c>
    </row>
    <row r="15">
      <c r="A15" s="1" t="inlineStr">
        <is>
          <t>Trade Log</t>
        </is>
      </c>
    </row>
    <row r="16">
      <c r="A16" t="inlineStr">
        <is>
          <t>Sourced</t>
        </is>
      </c>
      <c r="B16" t="inlineStr">
        <is>
          <t>Watchlist</t>
        </is>
      </c>
      <c r="C16" t="inlineStr">
        <is>
          <t>MACD Scanner</t>
        </is>
      </c>
      <c r="D16" t="inlineStr">
        <is>
          <t>VTR Scanner</t>
        </is>
      </c>
      <c r="E16" t="inlineStr">
        <is>
          <t>Relative Daily scanner</t>
        </is>
      </c>
      <c r="F16" t="inlineStr">
        <is>
          <t>BTD Scanner</t>
        </is>
      </c>
    </row>
  </sheetData>
  <pageMargins left="0.7" right="0.7" top="0.75" bottom="0.75" header="0.3" footer="0.3"/>
</worksheet>
</file>

<file path=xl/worksheets/sheet9.xml><?xml version="1.0" encoding="utf-8"?>
<worksheet xmlns="http://schemas.openxmlformats.org/spreadsheetml/2006/main">
  <sheetPr>
    <tabColor rgb="FF92D050"/>
    <outlinePr summaryBelow="1" summaryRight="1"/>
    <pageSetUpPr/>
  </sheetPr>
  <dimension ref="A1:AP10"/>
  <sheetViews>
    <sheetView workbookViewId="0">
      <selection activeCell="AG6" sqref="AG6"/>
    </sheetView>
  </sheetViews>
  <sheetFormatPr baseColWidth="8" defaultRowHeight="14.5"/>
  <cols>
    <col width="10.54296875" customWidth="1" min="20" max="20"/>
    <col width="9.54296875" customWidth="1" min="26" max="26"/>
  </cols>
  <sheetData>
    <row r="1">
      <c r="A1" t="inlineStr">
        <is>
          <t>Status</t>
        </is>
      </c>
      <c r="B1" t="inlineStr">
        <is>
          <t>Symbol</t>
        </is>
      </c>
      <c r="C1" t="inlineStr">
        <is>
          <t>Size</t>
        </is>
      </c>
      <c r="D1" t="inlineStr">
        <is>
          <t>Open Date</t>
        </is>
      </c>
      <c r="E1" t="inlineStr">
        <is>
          <t>Close Date</t>
        </is>
      </c>
      <c r="F1" t="inlineStr">
        <is>
          <t>Open Time</t>
        </is>
      </c>
      <c r="G1" t="inlineStr">
        <is>
          <t>Close Time</t>
        </is>
      </c>
      <c r="H1" t="inlineStr">
        <is>
          <t>Setups</t>
        </is>
      </c>
      <c r="I1" t="inlineStr">
        <is>
          <t>Mistakes</t>
        </is>
      </c>
      <c r="J1" t="inlineStr">
        <is>
          <t>Entry Price</t>
        </is>
      </c>
      <c r="K1" t="inlineStr">
        <is>
          <t>Exit Price</t>
        </is>
      </c>
      <c r="L1" t="inlineStr">
        <is>
          <t>Return $</t>
        </is>
      </c>
      <c r="M1" t="inlineStr">
        <is>
          <t>Return %</t>
        </is>
      </c>
      <c r="N1" t="inlineStr">
        <is>
          <t>Avg Buy</t>
        </is>
      </c>
      <c r="O1" t="inlineStr">
        <is>
          <t>Avg Sell</t>
        </is>
      </c>
      <c r="P1" t="inlineStr">
        <is>
          <t>Net Return</t>
        </is>
      </c>
      <c r="Q1" t="inlineStr">
        <is>
          <t>Commision</t>
        </is>
      </c>
      <c r="R1" t="inlineStr">
        <is>
          <t>Notes</t>
        </is>
      </c>
      <c r="S1" t="inlineStr">
        <is>
          <t>Expire</t>
        </is>
      </c>
      <c r="T1" t="inlineStr">
        <is>
          <t>Strike</t>
        </is>
      </c>
      <c r="U1" t="inlineStr">
        <is>
          <t>Type</t>
        </is>
      </c>
      <c r="V1" t="inlineStr">
        <is>
          <t>Side</t>
        </is>
      </c>
      <c r="W1" t="inlineStr">
        <is>
          <t>Targets</t>
        </is>
      </c>
      <c r="X1" t="inlineStr">
        <is>
          <t>Stops</t>
        </is>
      </c>
      <c r="Y1" t="inlineStr">
        <is>
          <t>Spread</t>
        </is>
      </c>
      <c r="Z1" t="inlineStr">
        <is>
          <t>Cost</t>
        </is>
      </c>
      <c r="AA1" t="inlineStr">
        <is>
          <t>Executions</t>
        </is>
      </c>
      <c r="AB1" t="inlineStr">
        <is>
          <t>Fees</t>
        </is>
      </c>
      <c r="AC1" t="inlineStr">
        <is>
          <t>Swap</t>
        </is>
      </c>
      <c r="AD1" t="inlineStr">
        <is>
          <t>Holdtime</t>
        </is>
      </c>
      <c r="AE1" t="inlineStr">
        <is>
          <t>Last Order</t>
        </is>
      </c>
      <c r="AF1" t="inlineStr">
        <is>
          <t>Portfolio</t>
        </is>
      </c>
      <c r="AG1" t="inlineStr">
        <is>
          <t>Position</t>
        </is>
      </c>
      <c r="AH1" t="inlineStr">
        <is>
          <t>Privacy</t>
        </is>
      </c>
      <c r="AI1" t="inlineStr">
        <is>
          <t>Return Share</t>
        </is>
      </c>
      <c r="AJ1" t="inlineStr">
        <is>
          <t>Risk</t>
        </is>
      </c>
      <c r="AK1" t="inlineStr">
        <is>
          <t>MAE</t>
        </is>
      </c>
      <c r="AL1" t="inlineStr">
        <is>
          <t>MFE</t>
        </is>
      </c>
      <c r="AM1" t="inlineStr">
        <is>
          <t>Expectancy</t>
        </is>
      </c>
      <c r="AN1" t="inlineStr">
        <is>
          <t>R-Multiple</t>
        </is>
      </c>
      <c r="AO1" t="inlineStr">
        <is>
          <t>Best Exit $</t>
        </is>
      </c>
      <c r="AP1" t="inlineStr">
        <is>
          <t>Best Exit %</t>
        </is>
      </c>
    </row>
    <row r="2">
      <c r="A2" t="inlineStr">
        <is>
          <t>WIN</t>
        </is>
      </c>
      <c r="B2" t="inlineStr">
        <is>
          <t>CELH</t>
        </is>
      </c>
      <c r="C2" t="n">
        <v>25</v>
      </c>
      <c r="D2" t="inlineStr">
        <is>
          <t>Feb 09, 2024</t>
        </is>
      </c>
      <c r="E2" t="inlineStr">
        <is>
          <t>Mar 01, 2024</t>
        </is>
      </c>
      <c r="F2" t="inlineStr">
        <is>
          <t>10:02:17</t>
        </is>
      </c>
      <c r="G2" t="inlineStr">
        <is>
          <t>15:27:20</t>
        </is>
      </c>
      <c r="J2" s="40" t="n">
        <v>58.5999</v>
      </c>
      <c r="K2" s="40" t="n">
        <v>78.01000000000001</v>
      </c>
      <c r="L2" s="40" t="n">
        <v>485.25</v>
      </c>
      <c r="M2" t="inlineStr">
        <is>
          <t>33.12%</t>
        </is>
      </c>
      <c r="N2" s="40" t="n">
        <v>58.5999</v>
      </c>
      <c r="O2" s="40" t="n">
        <v>78.01000000000001</v>
      </c>
      <c r="P2" s="40" t="n">
        <v>485.25</v>
      </c>
      <c r="Q2" s="40" t="n"/>
      <c r="T2" s="40" t="n">
        <v>0</v>
      </c>
      <c r="U2" t="inlineStr">
        <is>
          <t>SHARE</t>
        </is>
      </c>
      <c r="V2" t="inlineStr">
        <is>
          <t>LONG</t>
        </is>
      </c>
      <c r="Y2" t="inlineStr">
        <is>
          <t>SINGLE</t>
        </is>
      </c>
      <c r="Z2" s="40" t="n">
        <v>1465</v>
      </c>
      <c r="AA2" t="n">
        <v>2</v>
      </c>
      <c r="AB2" s="40" t="n"/>
      <c r="AD2" t="inlineStr">
        <is>
          <t>21d</t>
        </is>
      </c>
      <c r="AE2" t="inlineStr">
        <is>
          <t>Mar 01, 2024</t>
        </is>
      </c>
      <c r="AF2" t="inlineStr">
        <is>
          <t>ROTH IRA</t>
        </is>
      </c>
      <c r="AH2" t="inlineStr">
        <is>
          <t>Private</t>
        </is>
      </c>
      <c r="AI2" s="40" t="n">
        <v>19.41</v>
      </c>
      <c r="AJ2" t="n">
        <v>0</v>
      </c>
      <c r="AK2" t="n">
        <v>-58.2475</v>
      </c>
      <c r="AL2" t="n">
        <v>603.753</v>
      </c>
      <c r="AO2" s="40" t="n">
        <v>674</v>
      </c>
      <c r="AP2" t="n">
        <v>46.01</v>
      </c>
    </row>
    <row r="3">
      <c r="A3" t="inlineStr">
        <is>
          <t>OPEN</t>
        </is>
      </c>
      <c r="B3" t="inlineStr">
        <is>
          <t>TSLA</t>
        </is>
      </c>
      <c r="C3" t="n">
        <v>9</v>
      </c>
      <c r="D3" t="inlineStr">
        <is>
          <t>Apr 01, 2024</t>
        </is>
      </c>
      <c r="E3" t="inlineStr">
        <is>
          <t>Apr 01, 2024</t>
        </is>
      </c>
      <c r="F3" t="inlineStr">
        <is>
          <t>09:42:31</t>
        </is>
      </c>
      <c r="G3" t="inlineStr">
        <is>
          <t>09:42:31</t>
        </is>
      </c>
      <c r="J3" s="40" t="n">
        <v>175.91</v>
      </c>
      <c r="K3" s="40" t="n"/>
      <c r="L3" s="40" t="n"/>
      <c r="N3" s="40" t="n">
        <v>175.91</v>
      </c>
      <c r="O3" s="40" t="n"/>
      <c r="P3" s="40" t="n">
        <v>0</v>
      </c>
      <c r="Q3" s="40" t="n"/>
      <c r="T3" s="40" t="n">
        <v>0</v>
      </c>
      <c r="U3" t="inlineStr">
        <is>
          <t>SHARE</t>
        </is>
      </c>
      <c r="V3" t="inlineStr">
        <is>
          <t>LONG</t>
        </is>
      </c>
      <c r="Y3" t="inlineStr">
        <is>
          <t>SINGLE</t>
        </is>
      </c>
      <c r="Z3" s="40" t="n">
        <v>1583.19</v>
      </c>
      <c r="AA3" t="n">
        <v>1</v>
      </c>
      <c r="AB3" s="40" t="n"/>
      <c r="AD3" t="inlineStr">
        <is>
          <t>0 sec</t>
        </is>
      </c>
      <c r="AE3" t="inlineStr">
        <is>
          <t>Apr 01, 2024</t>
        </is>
      </c>
      <c r="AF3" t="inlineStr">
        <is>
          <t>Chase Retirement</t>
        </is>
      </c>
      <c r="AG3" t="n">
        <v>9</v>
      </c>
      <c r="AH3" t="inlineStr">
        <is>
          <t>Private</t>
        </is>
      </c>
      <c r="AI3" s="40" t="n"/>
      <c r="AJ3" t="n">
        <v>0</v>
      </c>
      <c r="AO3" s="40" t="n"/>
    </row>
    <row r="4">
      <c r="A4" t="inlineStr">
        <is>
          <t>OPEN</t>
        </is>
      </c>
      <c r="B4" t="inlineStr">
        <is>
          <t>AAPL</t>
        </is>
      </c>
      <c r="C4" t="n">
        <v>6</v>
      </c>
      <c r="D4" t="inlineStr">
        <is>
          <t>Apr 01, 2024</t>
        </is>
      </c>
      <c r="E4" t="inlineStr">
        <is>
          <t>Apr 01, 2024</t>
        </is>
      </c>
      <c r="F4" t="inlineStr">
        <is>
          <t>10:03:23</t>
        </is>
      </c>
      <c r="G4" t="inlineStr">
        <is>
          <t>10:03:23</t>
        </is>
      </c>
      <c r="J4" s="40" t="n">
        <v>170.19</v>
      </c>
      <c r="K4" s="40" t="n"/>
      <c r="L4" s="40" t="n"/>
      <c r="N4" s="40" t="n">
        <v>170.19</v>
      </c>
      <c r="O4" s="40" t="n"/>
      <c r="P4" s="40" t="n">
        <v>0</v>
      </c>
      <c r="Q4" s="40" t="n"/>
      <c r="T4" s="40" t="n">
        <v>0</v>
      </c>
      <c r="U4" t="inlineStr">
        <is>
          <t>SHARE</t>
        </is>
      </c>
      <c r="V4" t="inlineStr">
        <is>
          <t>LONG</t>
        </is>
      </c>
      <c r="Y4" t="inlineStr">
        <is>
          <t>SINGLE</t>
        </is>
      </c>
      <c r="Z4" s="40" t="n">
        <v>1021.14</v>
      </c>
      <c r="AA4" t="n">
        <v>1</v>
      </c>
      <c r="AB4" s="40" t="n"/>
      <c r="AD4" t="inlineStr">
        <is>
          <t>0 sec</t>
        </is>
      </c>
      <c r="AE4" t="inlineStr">
        <is>
          <t>Apr 01, 2024</t>
        </is>
      </c>
      <c r="AF4" t="inlineStr">
        <is>
          <t>Chase Retirement</t>
        </is>
      </c>
      <c r="AG4" t="n">
        <v>6</v>
      </c>
      <c r="AH4" t="inlineStr">
        <is>
          <t>Private</t>
        </is>
      </c>
      <c r="AI4" s="40" t="n"/>
      <c r="AJ4" t="n">
        <v>0</v>
      </c>
      <c r="AO4" s="40" t="n"/>
    </row>
    <row r="5">
      <c r="A5" t="inlineStr">
        <is>
          <t>OPEN</t>
        </is>
      </c>
      <c r="B5" t="inlineStr">
        <is>
          <t>U</t>
        </is>
      </c>
      <c r="C5" t="n">
        <v>75</v>
      </c>
      <c r="D5" t="inlineStr">
        <is>
          <t>Apr 09, 2024</t>
        </is>
      </c>
      <c r="E5" t="inlineStr">
        <is>
          <t>Apr 09, 2024</t>
        </is>
      </c>
      <c r="F5" t="inlineStr">
        <is>
          <t>09:57:43</t>
        </is>
      </c>
      <c r="G5" t="inlineStr">
        <is>
          <t>09:58:02</t>
        </is>
      </c>
      <c r="J5" s="40" t="n">
        <v>26.55</v>
      </c>
      <c r="K5" s="40" t="n"/>
      <c r="L5" s="40" t="n"/>
      <c r="N5" s="40" t="n">
        <v>26.54</v>
      </c>
      <c r="O5" s="40" t="n"/>
      <c r="P5" s="40" t="n">
        <v>0</v>
      </c>
      <c r="Q5" s="40" t="n"/>
      <c r="T5" s="40" t="n">
        <v>0</v>
      </c>
      <c r="U5" t="inlineStr">
        <is>
          <t>SHARE</t>
        </is>
      </c>
      <c r="V5" t="inlineStr">
        <is>
          <t>LONG</t>
        </is>
      </c>
      <c r="Y5" t="inlineStr">
        <is>
          <t>SINGLE</t>
        </is>
      </c>
      <c r="Z5" s="40" t="n">
        <v>1990.5</v>
      </c>
      <c r="AA5" t="n">
        <v>2</v>
      </c>
      <c r="AB5" s="40" t="n"/>
      <c r="AD5" t="inlineStr">
        <is>
          <t>19 sec</t>
        </is>
      </c>
      <c r="AE5" t="inlineStr">
        <is>
          <t>Apr 09, 2024</t>
        </is>
      </c>
      <c r="AF5" t="inlineStr">
        <is>
          <t>ROTH IRA</t>
        </is>
      </c>
      <c r="AG5" t="n">
        <v>75</v>
      </c>
      <c r="AH5" t="inlineStr">
        <is>
          <t>Private</t>
        </is>
      </c>
      <c r="AI5" s="40" t="n"/>
      <c r="AJ5" t="n">
        <v>0</v>
      </c>
      <c r="AO5" s="40" t="n"/>
    </row>
    <row r="6">
      <c r="A6" t="inlineStr">
        <is>
          <t>LOSS</t>
        </is>
      </c>
      <c r="B6" t="inlineStr">
        <is>
          <t>SPX</t>
        </is>
      </c>
      <c r="C6" t="n">
        <v>1</v>
      </c>
      <c r="D6" t="inlineStr">
        <is>
          <t>Apr 15, 2024</t>
        </is>
      </c>
      <c r="E6" t="inlineStr">
        <is>
          <t>Apr 15, 2024</t>
        </is>
      </c>
      <c r="F6" t="inlineStr">
        <is>
          <t>09:41:14</t>
        </is>
      </c>
      <c r="G6" t="inlineStr">
        <is>
          <t>09:41:35</t>
        </is>
      </c>
      <c r="J6" s="40" t="n">
        <v>7.8</v>
      </c>
      <c r="K6" s="40" t="n">
        <v>7.4</v>
      </c>
      <c r="L6" s="40" t="n">
        <v>-40</v>
      </c>
      <c r="M6" t="inlineStr">
        <is>
          <t>-5.13%</t>
        </is>
      </c>
      <c r="N6" s="40" t="n">
        <v>7.8</v>
      </c>
      <c r="O6" s="40" t="n">
        <v>7.4</v>
      </c>
      <c r="P6" s="40" t="n">
        <v>-42.36</v>
      </c>
      <c r="Q6" s="40" t="n">
        <v>1.3</v>
      </c>
      <c r="S6" t="inlineStr">
        <is>
          <t>15 APR 24</t>
        </is>
      </c>
      <c r="T6" s="40" t="n">
        <v>5180</v>
      </c>
      <c r="U6" t="inlineStr">
        <is>
          <t>OPTION</t>
        </is>
      </c>
      <c r="V6" t="inlineStr">
        <is>
          <t>LONG</t>
        </is>
      </c>
      <c r="Y6" t="inlineStr">
        <is>
          <t>SINGLE</t>
        </is>
      </c>
      <c r="Z6" s="40" t="n">
        <v>780</v>
      </c>
      <c r="AA6" t="n">
        <v>2</v>
      </c>
      <c r="AB6" s="40" t="n">
        <v>1.06</v>
      </c>
      <c r="AD6" t="inlineStr">
        <is>
          <t>21 sec</t>
        </is>
      </c>
      <c r="AE6" t="inlineStr">
        <is>
          <t>Apr 15, 2024</t>
        </is>
      </c>
      <c r="AF6" t="inlineStr">
        <is>
          <t>Day Trading</t>
        </is>
      </c>
      <c r="AH6" t="inlineStr">
        <is>
          <t>Private</t>
        </is>
      </c>
      <c r="AI6" s="40" t="n">
        <v>-40</v>
      </c>
      <c r="AJ6" t="n">
        <v>0</v>
      </c>
      <c r="AK6" t="n">
        <v>-40</v>
      </c>
      <c r="AO6" s="40" t="n"/>
    </row>
    <row r="7">
      <c r="A7" t="inlineStr">
        <is>
          <t>WIN</t>
        </is>
      </c>
      <c r="B7" t="inlineStr">
        <is>
          <t>SPX</t>
        </is>
      </c>
      <c r="C7" t="n">
        <v>1</v>
      </c>
      <c r="D7" t="inlineStr">
        <is>
          <t>Apr 15, 2024</t>
        </is>
      </c>
      <c r="E7" t="inlineStr">
        <is>
          <t>Apr 15, 2024</t>
        </is>
      </c>
      <c r="F7" t="inlineStr">
        <is>
          <t>09:53:29</t>
        </is>
      </c>
      <c r="G7" t="inlineStr">
        <is>
          <t>09:55:18</t>
        </is>
      </c>
      <c r="H7" t="inlineStr">
        <is>
          <t>Rich SPY, Waited</t>
        </is>
      </c>
      <c r="J7" s="40" t="n">
        <v>6.3</v>
      </c>
      <c r="K7" s="40" t="n">
        <v>6.6</v>
      </c>
      <c r="L7" s="40" t="n">
        <v>30</v>
      </c>
      <c r="M7" t="inlineStr">
        <is>
          <t>4.76%</t>
        </is>
      </c>
      <c r="N7" s="40" t="n">
        <v>6.3</v>
      </c>
      <c r="O7" s="40" t="n">
        <v>6.6</v>
      </c>
      <c r="P7" s="40" t="n">
        <v>27.64</v>
      </c>
      <c r="Q7" s="40" t="n">
        <v>1.3</v>
      </c>
      <c r="S7" t="inlineStr">
        <is>
          <t>15 APR 24</t>
        </is>
      </c>
      <c r="T7" s="40" t="n">
        <v>5180</v>
      </c>
      <c r="U7" t="inlineStr">
        <is>
          <t>OPTION</t>
        </is>
      </c>
      <c r="V7" t="inlineStr">
        <is>
          <t>LONG</t>
        </is>
      </c>
      <c r="Y7" t="inlineStr">
        <is>
          <t>SINGLE</t>
        </is>
      </c>
      <c r="Z7" s="40" t="n">
        <v>630</v>
      </c>
      <c r="AA7" t="n">
        <v>2</v>
      </c>
      <c r="AB7" s="40" t="n">
        <v>1.06</v>
      </c>
      <c r="AD7" t="inlineStr">
        <is>
          <t>01:49 min</t>
        </is>
      </c>
      <c r="AE7" t="inlineStr">
        <is>
          <t>Apr 15, 2024</t>
        </is>
      </c>
      <c r="AF7" t="inlineStr">
        <is>
          <t>Day Trading</t>
        </is>
      </c>
      <c r="AH7" t="inlineStr">
        <is>
          <t>Private</t>
        </is>
      </c>
      <c r="AI7" s="40" t="n">
        <v>30</v>
      </c>
      <c r="AJ7" t="n">
        <v>0</v>
      </c>
      <c r="AK7" t="n">
        <v>20</v>
      </c>
      <c r="AL7" t="n">
        <v>30</v>
      </c>
      <c r="AO7" s="40" t="n"/>
    </row>
    <row r="8">
      <c r="A8" t="inlineStr">
        <is>
          <t>WIN</t>
        </is>
      </c>
      <c r="B8" t="inlineStr">
        <is>
          <t>SPX</t>
        </is>
      </c>
      <c r="C8" t="n">
        <v>1</v>
      </c>
      <c r="D8" t="inlineStr">
        <is>
          <t>Apr 19, 2024</t>
        </is>
      </c>
      <c r="E8" t="inlineStr">
        <is>
          <t>Apr 19, 2024</t>
        </is>
      </c>
      <c r="F8" t="inlineStr">
        <is>
          <t>11:28:57</t>
        </is>
      </c>
      <c r="G8" t="inlineStr">
        <is>
          <t>11:33:36</t>
        </is>
      </c>
      <c r="H8" t="inlineStr">
        <is>
          <t>Rich SPY</t>
        </is>
      </c>
      <c r="I8" t="inlineStr">
        <is>
          <t>Fumbled</t>
        </is>
      </c>
      <c r="J8" s="40" t="n">
        <v>5.8</v>
      </c>
      <c r="K8" s="40" t="n">
        <v>6</v>
      </c>
      <c r="L8" s="40" t="n">
        <v>20</v>
      </c>
      <c r="M8" t="inlineStr">
        <is>
          <t>3.45%</t>
        </is>
      </c>
      <c r="N8" s="40" t="n">
        <v>5.8</v>
      </c>
      <c r="O8" s="40" t="n">
        <v>6</v>
      </c>
      <c r="P8" s="40" t="n">
        <v>17.64</v>
      </c>
      <c r="Q8" s="40" t="n">
        <v>1.3</v>
      </c>
      <c r="S8" t="inlineStr">
        <is>
          <t>19 APR 24</t>
        </is>
      </c>
      <c r="T8" s="40" t="n">
        <v>4970</v>
      </c>
      <c r="U8" t="inlineStr">
        <is>
          <t>OPTION</t>
        </is>
      </c>
      <c r="V8" t="inlineStr">
        <is>
          <t>LONG</t>
        </is>
      </c>
      <c r="Y8" t="inlineStr">
        <is>
          <t>SINGLE</t>
        </is>
      </c>
      <c r="Z8" s="40" t="n">
        <v>580</v>
      </c>
      <c r="AA8" t="n">
        <v>2</v>
      </c>
      <c r="AB8" s="40" t="n">
        <v>1.06</v>
      </c>
      <c r="AD8" t="inlineStr">
        <is>
          <t>04:39 min</t>
        </is>
      </c>
      <c r="AE8" t="inlineStr">
        <is>
          <t>Apr 19, 2024</t>
        </is>
      </c>
      <c r="AF8" t="inlineStr">
        <is>
          <t>Day Trading</t>
        </is>
      </c>
      <c r="AH8" t="inlineStr">
        <is>
          <t>Private</t>
        </is>
      </c>
      <c r="AI8" s="40" t="n">
        <v>20</v>
      </c>
      <c r="AJ8" t="n">
        <v>0</v>
      </c>
      <c r="AK8" t="n">
        <v>-95</v>
      </c>
      <c r="AL8" t="n">
        <v>20</v>
      </c>
      <c r="AO8" s="40" t="n"/>
    </row>
    <row r="9">
      <c r="A9" t="inlineStr">
        <is>
          <t>OPEN</t>
        </is>
      </c>
      <c r="B9" t="inlineStr">
        <is>
          <t>CELH</t>
        </is>
      </c>
      <c r="C9" t="n">
        <v>13</v>
      </c>
      <c r="D9" t="inlineStr">
        <is>
          <t>Apr 23, 2024</t>
        </is>
      </c>
      <c r="E9" t="inlineStr">
        <is>
          <t>Apr 23, 2024</t>
        </is>
      </c>
      <c r="F9" t="inlineStr">
        <is>
          <t>16:24:32</t>
        </is>
      </c>
      <c r="G9" t="inlineStr">
        <is>
          <t>16:24:32</t>
        </is>
      </c>
      <c r="J9" s="40" t="n">
        <v>71.95</v>
      </c>
      <c r="K9" s="40" t="n"/>
      <c r="L9" s="40" t="n"/>
      <c r="N9" s="40" t="n">
        <v>71.95</v>
      </c>
      <c r="O9" s="40" t="n"/>
      <c r="P9" s="40" t="n">
        <v>0</v>
      </c>
      <c r="Q9" s="40" t="n"/>
      <c r="T9" s="40" t="n">
        <v>0</v>
      </c>
      <c r="U9" t="inlineStr">
        <is>
          <t>SHARE</t>
        </is>
      </c>
      <c r="V9" t="inlineStr">
        <is>
          <t>LONG</t>
        </is>
      </c>
      <c r="Y9" t="inlineStr">
        <is>
          <t>SINGLE</t>
        </is>
      </c>
      <c r="Z9" s="40" t="n">
        <v>935.35</v>
      </c>
      <c r="AA9" t="n">
        <v>1</v>
      </c>
      <c r="AB9" s="40" t="n"/>
      <c r="AD9" t="inlineStr">
        <is>
          <t>0 sec</t>
        </is>
      </c>
      <c r="AE9" t="inlineStr">
        <is>
          <t>Apr 23, 2024</t>
        </is>
      </c>
      <c r="AF9" t="inlineStr">
        <is>
          <t>ROTH IRA</t>
        </is>
      </c>
      <c r="AG9" t="n">
        <v>13</v>
      </c>
      <c r="AH9" t="inlineStr">
        <is>
          <t>Private</t>
        </is>
      </c>
      <c r="AI9" s="40" t="n"/>
      <c r="AJ9" t="n">
        <v>0</v>
      </c>
      <c r="AO9" s="40" t="n"/>
    </row>
    <row r="10">
      <c r="A10" t="inlineStr">
        <is>
          <t>OPEN</t>
        </is>
      </c>
      <c r="B10" t="inlineStr">
        <is>
          <t>TCHI</t>
        </is>
      </c>
      <c r="C10" t="n">
        <v>22</v>
      </c>
      <c r="D10" t="inlineStr">
        <is>
          <t>May 03, 2024</t>
        </is>
      </c>
      <c r="E10" t="inlineStr">
        <is>
          <t>May 03, 2024</t>
        </is>
      </c>
      <c r="F10" t="inlineStr">
        <is>
          <t>10:13:22</t>
        </is>
      </c>
      <c r="G10" t="inlineStr">
        <is>
          <t>10:13:22</t>
        </is>
      </c>
      <c r="J10" s="40" t="n">
        <v>17.6299</v>
      </c>
      <c r="K10" s="40" t="n"/>
      <c r="L10" s="40" t="n"/>
      <c r="N10" s="40" t="n">
        <v>17.6299</v>
      </c>
      <c r="O10" s="40" t="n"/>
      <c r="P10" s="40" t="n">
        <v>0</v>
      </c>
      <c r="Q10" s="40" t="n"/>
      <c r="T10" s="40" t="n">
        <v>0</v>
      </c>
      <c r="U10" t="inlineStr">
        <is>
          <t>SHARE</t>
        </is>
      </c>
      <c r="V10" t="inlineStr">
        <is>
          <t>LONG</t>
        </is>
      </c>
      <c r="Y10" t="inlineStr">
        <is>
          <t>SINGLE</t>
        </is>
      </c>
      <c r="Z10" s="40" t="n">
        <v>387.86</v>
      </c>
      <c r="AA10" t="n">
        <v>1</v>
      </c>
      <c r="AB10" s="40" t="n"/>
      <c r="AD10" t="inlineStr">
        <is>
          <t>0 sec</t>
        </is>
      </c>
      <c r="AE10" t="inlineStr">
        <is>
          <t>May 03, 2024</t>
        </is>
      </c>
      <c r="AF10" t="inlineStr">
        <is>
          <t>Long</t>
        </is>
      </c>
      <c r="AG10" t="n">
        <v>22</v>
      </c>
      <c r="AH10" t="inlineStr">
        <is>
          <t>Private</t>
        </is>
      </c>
      <c r="AI10" s="40" t="n"/>
      <c r="AJ10" t="n">
        <v>0</v>
      </c>
      <c r="AO10" s="40" t="n"/>
    </row>
  </sheetData>
  <pageMargins left="0.75" right="0.75" top="1" bottom="1" header="0.5" footer="0.5"/>
  <pageSetup orientation="portrait" paperSize="9"/>
</worksheet>
</file>

<file path=xl/worksheets/sheet10.xml><?xml version="1.0" encoding="utf-8"?>
<worksheet xmlns="http://schemas.openxmlformats.org/spreadsheetml/2006/main">
  <sheetPr codeName="Sheet9">
    <tabColor rgb="FF00B0F0"/>
    <outlinePr summaryBelow="1" summaryRight="1"/>
    <pageSetUpPr/>
  </sheetPr>
  <dimension ref="A1:J171"/>
  <sheetViews>
    <sheetView workbookViewId="0">
      <selection activeCell="M45" sqref="M45"/>
    </sheetView>
  </sheetViews>
  <sheetFormatPr baseColWidth="8" defaultRowHeight="14.5"/>
  <cols>
    <col width="31.36328125" customWidth="1" min="1" max="1"/>
  </cols>
  <sheetData>
    <row r="1">
      <c r="B1" t="inlineStr">
        <is>
          <t>Value #1</t>
        </is>
      </c>
      <c r="C1" t="inlineStr">
        <is>
          <t>Value #2</t>
        </is>
      </c>
      <c r="D1" t="inlineStr">
        <is>
          <t>Value #3</t>
        </is>
      </c>
      <c r="E1" t="inlineStr">
        <is>
          <t>Value #4</t>
        </is>
      </c>
      <c r="F1" t="inlineStr">
        <is>
          <t>Value #5</t>
        </is>
      </c>
      <c r="G1" t="inlineStr">
        <is>
          <t>Value #6</t>
        </is>
      </c>
      <c r="H1" t="inlineStr">
        <is>
          <t>Value #7</t>
        </is>
      </c>
      <c r="I1" t="inlineStr">
        <is>
          <t>Value #8</t>
        </is>
      </c>
      <c r="J1" t="inlineStr">
        <is>
          <t>Value #9</t>
        </is>
      </c>
    </row>
    <row r="2">
      <c r="A2" s="1" t="inlineStr">
        <is>
          <t>Cloud System Swings 1hr</t>
        </is>
      </c>
    </row>
    <row r="3">
      <c r="A3" t="inlineStr">
        <is>
          <t>Sourcing</t>
        </is>
      </c>
      <c r="B3" t="inlineStr">
        <is>
          <t>Watchlist</t>
        </is>
      </c>
      <c r="C3" t="inlineStr">
        <is>
          <t>MACD Scanner</t>
        </is>
      </c>
      <c r="D3" t="inlineStr">
        <is>
          <t>Relative Scanner</t>
        </is>
      </c>
    </row>
    <row r="4">
      <c r="A4" t="inlineStr">
        <is>
          <t>Recording System</t>
        </is>
      </c>
      <c r="B4" t="inlineStr">
        <is>
          <t>TraderSync</t>
        </is>
      </c>
      <c r="C4" t="inlineStr">
        <is>
          <t>Journal</t>
        </is>
      </c>
    </row>
    <row r="5">
      <c r="A5" t="inlineStr">
        <is>
          <t>Enter Criteria</t>
        </is>
      </c>
      <c r="B5" t="inlineStr">
        <is>
          <t>Hourly chart.</t>
        </is>
      </c>
      <c r="C5" t="inlineStr">
        <is>
          <t>Enter when the candle close crosses the 34-50 cloud.</t>
        </is>
      </c>
    </row>
    <row r="6">
      <c r="A6" t="inlineStr">
        <is>
          <t>Early Entry Criteria</t>
        </is>
      </c>
      <c r="B6" t="inlineStr">
        <is>
          <t>Enter as the candle is breaking the cloud.</t>
        </is>
      </c>
    </row>
    <row r="7">
      <c r="A7" t="inlineStr">
        <is>
          <t>Exit Criteria</t>
        </is>
      </c>
      <c r="B7" t="inlineStr">
        <is>
          <t>Close breaks the 5-12 cloud.</t>
        </is>
      </c>
    </row>
    <row r="8">
      <c r="A8" t="inlineStr">
        <is>
          <t>Confirmation Criteria</t>
        </is>
      </c>
      <c r="B8" t="inlineStr">
        <is>
          <t>Confirmation is defined as a close cross the cloud.</t>
        </is>
      </c>
    </row>
    <row r="9">
      <c r="A9" t="inlineStr">
        <is>
          <t>Quality Considerations</t>
        </is>
      </c>
      <c r="B9" t="inlineStr">
        <is>
          <t>Confirmation</t>
        </is>
      </c>
      <c r="C9" t="inlineStr">
        <is>
          <t>SPY RSI H trend</t>
        </is>
      </c>
      <c r="D9" t="inlineStr">
        <is>
          <t>Favorable Relativeness</t>
        </is>
      </c>
      <c r="E9" s="31" t="inlineStr">
        <is>
          <t>RR</t>
        </is>
      </c>
    </row>
    <row r="10">
      <c r="A10" t="inlineStr">
        <is>
          <t>Quality Criteria</t>
        </is>
      </c>
      <c r="B10" t="inlineStr">
        <is>
          <t>HQ= confirmation + 2</t>
        </is>
      </c>
      <c r="C10" t="inlineStr">
        <is>
          <t>MQ= confirmation + 1</t>
        </is>
      </c>
      <c r="D10" t="inlineStr">
        <is>
          <t>LQ= early + 1</t>
        </is>
      </c>
    </row>
    <row r="11">
      <c r="A11" t="inlineStr">
        <is>
          <t>Kaizen</t>
        </is>
      </c>
      <c r="B11" t="inlineStr">
        <is>
          <t>Size of the trade will need to be improved</t>
        </is>
      </c>
      <c r="C11" t="inlineStr">
        <is>
          <t>Options versus stock will need definition</t>
        </is>
      </c>
      <c r="D11" t="inlineStr">
        <is>
          <t>Early entries worth it or not</t>
        </is>
      </c>
      <c r="E11" s="31" t="inlineStr">
        <is>
          <t>Come up with an RR value</t>
        </is>
      </c>
      <c r="F11" t="inlineStr">
        <is>
          <t>Correlation of confirmation bias</t>
        </is>
      </c>
    </row>
    <row r="12">
      <c r="A12" t="inlineStr">
        <is>
          <t>Execution Review Criteria</t>
        </is>
      </c>
      <c r="B12" t="inlineStr">
        <is>
          <t xml:space="preserve">Exited as defined in the criteria or not. Max gain analysis. </t>
        </is>
      </c>
    </row>
    <row r="13">
      <c r="A13" t="inlineStr">
        <is>
          <t>Backtesting</t>
        </is>
      </c>
      <c r="B13" t="inlineStr">
        <is>
          <t>Yes</t>
        </is>
      </c>
    </row>
    <row r="14">
      <c r="A14" t="inlineStr">
        <is>
          <t>Retrospective Period</t>
        </is>
      </c>
      <c r="B14" t="inlineStr">
        <is>
          <t>D+3</t>
        </is>
      </c>
    </row>
    <row r="15">
      <c r="A15" t="inlineStr">
        <is>
          <t>Exit Feeling Record</t>
        </is>
      </c>
      <c r="B15" t="inlineStr">
        <is>
          <t>Yes</t>
        </is>
      </c>
    </row>
    <row r="16">
      <c r="A16" t="inlineStr">
        <is>
          <t>Current Version</t>
        </is>
      </c>
      <c r="B16" t="n">
        <v>0.1</v>
      </c>
    </row>
    <row r="17">
      <c r="A17" t="inlineStr">
        <is>
          <t>Scoring KPI of Strategy</t>
        </is>
      </c>
      <c r="B17" t="inlineStr">
        <is>
          <t>Profit factor</t>
        </is>
      </c>
      <c r="C17" t="inlineStr">
        <is>
          <t>Avrg Return</t>
        </is>
      </c>
      <c r="D17" s="16" t="inlineStr">
        <is>
          <t>Best Exit</t>
        </is>
      </c>
    </row>
    <row r="18">
      <c r="A18" t="inlineStr">
        <is>
          <t>Tagging System</t>
        </is>
      </c>
      <c r="B18" t="inlineStr">
        <is>
          <t>CSH</t>
        </is>
      </c>
      <c r="C18" t="inlineStr">
        <is>
          <t>Confirmation</t>
        </is>
      </c>
      <c r="D18" t="inlineStr">
        <is>
          <t>Relativeness</t>
        </is>
      </c>
      <c r="E18" t="inlineStr">
        <is>
          <t>Quality</t>
        </is>
      </c>
      <c r="F18" t="inlineStr">
        <is>
          <t>Direction</t>
        </is>
      </c>
      <c r="G18" t="inlineStr">
        <is>
          <t>Execution</t>
        </is>
      </c>
    </row>
    <row r="19">
      <c r="A19" t="inlineStr">
        <is>
          <t>TODO</t>
        </is>
      </c>
    </row>
    <row r="21">
      <c r="A21" s="1" t="inlineStr">
        <is>
          <t>Rich SPY Trading</t>
        </is>
      </c>
    </row>
    <row r="22">
      <c r="A22" t="inlineStr">
        <is>
          <t>Sourcing</t>
        </is>
      </c>
      <c r="B22" t="inlineStr">
        <is>
          <t>Rich Discord</t>
        </is>
      </c>
    </row>
    <row r="23">
      <c r="A23" t="inlineStr">
        <is>
          <t>Recording System</t>
        </is>
      </c>
      <c r="B23" t="inlineStr">
        <is>
          <t>TraderSync</t>
        </is>
      </c>
      <c r="C23" t="inlineStr">
        <is>
          <t>Journal</t>
        </is>
      </c>
    </row>
    <row r="24">
      <c r="A24" t="inlineStr">
        <is>
          <t>Enter Criteria</t>
        </is>
      </c>
      <c r="B24" t="inlineStr">
        <is>
          <t>Matching price to call</t>
        </is>
      </c>
    </row>
    <row r="25">
      <c r="A25" t="inlineStr">
        <is>
          <t>Early Entry Criteria</t>
        </is>
      </c>
      <c r="B25" t="inlineStr">
        <is>
          <t>Cheaper price than Rich</t>
        </is>
      </c>
    </row>
    <row r="26">
      <c r="A26" t="inlineStr">
        <is>
          <t>Exit Criteria</t>
        </is>
      </c>
      <c r="B26" t="inlineStr">
        <is>
          <t>30% profit</t>
        </is>
      </c>
    </row>
    <row r="27">
      <c r="A27" t="inlineStr">
        <is>
          <t>Confirmation Criteria</t>
        </is>
      </c>
      <c r="B27" t="inlineStr">
        <is>
          <t>Seeing Rich's call.</t>
        </is>
      </c>
    </row>
    <row r="28">
      <c r="A28" t="inlineStr">
        <is>
          <t>Quality Considerations</t>
        </is>
      </c>
      <c r="B28" t="inlineStr">
        <is>
          <t>NA</t>
        </is>
      </c>
    </row>
    <row r="29">
      <c r="A29" t="inlineStr">
        <is>
          <t>Quality Criteria</t>
        </is>
      </c>
      <c r="B29" t="inlineStr">
        <is>
          <t>NA</t>
        </is>
      </c>
    </row>
    <row r="30">
      <c r="A30" t="inlineStr">
        <is>
          <t>Kaizen</t>
        </is>
      </c>
      <c r="B30" t="inlineStr">
        <is>
          <t>Improving enter criteria (my view over Rich's)</t>
        </is>
      </c>
      <c r="C30" t="inlineStr">
        <is>
          <t>Improving exit criteria (profit margin, wait for Rich, $ amount or %)</t>
        </is>
      </c>
    </row>
    <row r="31">
      <c r="A31" t="inlineStr">
        <is>
          <t>Execution Review Criteria</t>
        </is>
      </c>
      <c r="B31" t="inlineStr">
        <is>
          <t>My exit versus Rich's measured in Avg Return.</t>
        </is>
      </c>
    </row>
    <row r="32">
      <c r="A32" t="inlineStr">
        <is>
          <t>Backtesting</t>
        </is>
      </c>
      <c r="B32" t="inlineStr">
        <is>
          <t>NA</t>
        </is>
      </c>
    </row>
    <row r="33">
      <c r="A33" t="inlineStr">
        <is>
          <t>Retrospective Period</t>
        </is>
      </c>
      <c r="B33" t="inlineStr">
        <is>
          <t>EOD</t>
        </is>
      </c>
    </row>
    <row r="34">
      <c r="A34" t="inlineStr">
        <is>
          <t>Exit Feeling Record</t>
        </is>
      </c>
      <c r="B34" t="inlineStr">
        <is>
          <t>Yes</t>
        </is>
      </c>
    </row>
    <row r="35">
      <c r="A35" t="inlineStr">
        <is>
          <t>Current Version</t>
        </is>
      </c>
      <c r="B35" t="n">
        <v>0.1</v>
      </c>
    </row>
    <row r="36">
      <c r="A36" t="inlineStr">
        <is>
          <t>Scoring KPI of Strategy</t>
        </is>
      </c>
      <c r="B36" t="inlineStr">
        <is>
          <t>Profit Factor</t>
        </is>
      </c>
      <c r="C36" t="inlineStr">
        <is>
          <t>Avg Return</t>
        </is>
      </c>
      <c r="D36" s="16" t="inlineStr">
        <is>
          <t>Best Exit</t>
        </is>
      </c>
    </row>
    <row r="37">
      <c r="A37" t="inlineStr">
        <is>
          <t>Tagging System</t>
        </is>
      </c>
      <c r="B37" t="inlineStr">
        <is>
          <t>Rich SPY</t>
        </is>
      </c>
      <c r="C37" t="inlineStr">
        <is>
          <t>Confirmation</t>
        </is>
      </c>
      <c r="D37" t="inlineStr">
        <is>
          <t>Execution</t>
        </is>
      </c>
    </row>
    <row r="38">
      <c r="A38" t="inlineStr">
        <is>
          <t>TODO</t>
        </is>
      </c>
    </row>
    <row r="40">
      <c r="A40" s="1" t="inlineStr">
        <is>
          <t>Cloud System Swings Daily</t>
        </is>
      </c>
    </row>
    <row r="41">
      <c r="A41" t="inlineStr">
        <is>
          <t>Sourcing</t>
        </is>
      </c>
      <c r="B41" t="inlineStr">
        <is>
          <t>Watchlist</t>
        </is>
      </c>
      <c r="C41" t="inlineStr">
        <is>
          <t>MACD Scanner</t>
        </is>
      </c>
      <c r="D41" t="inlineStr">
        <is>
          <t>Relative Scanner</t>
        </is>
      </c>
    </row>
    <row r="42">
      <c r="A42" t="inlineStr">
        <is>
          <t>Recording System</t>
        </is>
      </c>
      <c r="B42" t="inlineStr">
        <is>
          <t>TraderSync</t>
        </is>
      </c>
      <c r="C42" t="inlineStr">
        <is>
          <t>Journal</t>
        </is>
      </c>
    </row>
    <row r="43">
      <c r="A43" t="inlineStr">
        <is>
          <t>Enter Criteria</t>
        </is>
      </c>
      <c r="B43" t="inlineStr">
        <is>
          <t>Daily chart.</t>
        </is>
      </c>
      <c r="C43" t="inlineStr">
        <is>
          <t>Enter when the candle close crosses the 34-50 cloud.</t>
        </is>
      </c>
    </row>
    <row r="44">
      <c r="A44" t="inlineStr">
        <is>
          <t>Early Entry Criteria</t>
        </is>
      </c>
      <c r="B44" t="inlineStr">
        <is>
          <t>Enter as the candle is breaking the cloud.</t>
        </is>
      </c>
    </row>
    <row r="45">
      <c r="A45" t="inlineStr">
        <is>
          <t>Exit Criteria</t>
        </is>
      </c>
      <c r="B45" t="inlineStr">
        <is>
          <t>Close breaks the 5-12 cloud.</t>
        </is>
      </c>
    </row>
    <row r="46">
      <c r="A46" t="inlineStr">
        <is>
          <t>Confirmation Criteria</t>
        </is>
      </c>
      <c r="B46" t="inlineStr">
        <is>
          <t>Confirmation is defined as a close cross the cloud.</t>
        </is>
      </c>
    </row>
    <row r="47">
      <c r="A47" t="inlineStr">
        <is>
          <t>Quality Considerations</t>
        </is>
      </c>
      <c r="B47" t="inlineStr">
        <is>
          <t>Confirmation</t>
        </is>
      </c>
      <c r="C47" t="inlineStr">
        <is>
          <t>SPY RSI D trend</t>
        </is>
      </c>
      <c r="D47" t="inlineStr">
        <is>
          <t>Favorable Relativeness</t>
        </is>
      </c>
      <c r="E47" s="31" t="inlineStr">
        <is>
          <t>RR</t>
        </is>
      </c>
    </row>
    <row r="48">
      <c r="A48" t="inlineStr">
        <is>
          <t>Quality Criteria</t>
        </is>
      </c>
      <c r="B48" t="inlineStr">
        <is>
          <t>HQ= confirmation + 2</t>
        </is>
      </c>
      <c r="C48" t="inlineStr">
        <is>
          <t>MQ= confirmation + 1</t>
        </is>
      </c>
      <c r="D48" t="inlineStr">
        <is>
          <t>LQ= early + 1</t>
        </is>
      </c>
    </row>
    <row r="49">
      <c r="A49" t="inlineStr">
        <is>
          <t>Kaizen</t>
        </is>
      </c>
      <c r="B49" t="inlineStr">
        <is>
          <t>Size of the trade will need to be improved</t>
        </is>
      </c>
      <c r="C49" t="inlineStr">
        <is>
          <t>Options versus stock will need definition</t>
        </is>
      </c>
      <c r="D49" t="inlineStr">
        <is>
          <t>Early entries worth it or not</t>
        </is>
      </c>
      <c r="E49" s="31" t="inlineStr">
        <is>
          <t>Come up with an RR value</t>
        </is>
      </c>
      <c r="F49" t="inlineStr">
        <is>
          <t>Correlation of confirmation bias</t>
        </is>
      </c>
    </row>
    <row r="50">
      <c r="A50" t="inlineStr">
        <is>
          <t>Execution Review Criteria</t>
        </is>
      </c>
      <c r="B50" t="inlineStr">
        <is>
          <t>Exited as defined in the criteria or not.</t>
        </is>
      </c>
      <c r="C50" t="inlineStr">
        <is>
          <t xml:space="preserve">Max gain analysis. </t>
        </is>
      </c>
    </row>
    <row r="51">
      <c r="A51" t="inlineStr">
        <is>
          <t>Backtesting</t>
        </is>
      </c>
      <c r="B51" t="inlineStr">
        <is>
          <t>Yes</t>
        </is>
      </c>
    </row>
    <row r="52">
      <c r="A52" t="inlineStr">
        <is>
          <t>Retrospective Period</t>
        </is>
      </c>
      <c r="B52" t="inlineStr">
        <is>
          <t>D+3</t>
        </is>
      </c>
    </row>
    <row r="53">
      <c r="A53" t="inlineStr">
        <is>
          <t>Exit Feeling Record</t>
        </is>
      </c>
      <c r="B53" t="inlineStr">
        <is>
          <t>Yes</t>
        </is>
      </c>
    </row>
    <row r="54">
      <c r="A54" t="inlineStr">
        <is>
          <t>Current Version</t>
        </is>
      </c>
      <c r="B54" t="n">
        <v>0.1</v>
      </c>
    </row>
    <row r="55">
      <c r="A55" t="inlineStr">
        <is>
          <t>Scoring KPI of Strategy</t>
        </is>
      </c>
      <c r="B55" t="inlineStr">
        <is>
          <t>Profit factor</t>
        </is>
      </c>
      <c r="C55" t="inlineStr">
        <is>
          <t>Avrg Return</t>
        </is>
      </c>
      <c r="D55" s="16" t="inlineStr">
        <is>
          <t>Best Exit</t>
        </is>
      </c>
    </row>
    <row r="56">
      <c r="A56" t="inlineStr">
        <is>
          <t>Tagging System</t>
        </is>
      </c>
      <c r="B56" t="inlineStr">
        <is>
          <t>CSD</t>
        </is>
      </c>
      <c r="C56" t="inlineStr">
        <is>
          <t>Confirmation</t>
        </is>
      </c>
      <c r="D56" t="inlineStr">
        <is>
          <t>Relativeness</t>
        </is>
      </c>
      <c r="E56" t="inlineStr">
        <is>
          <t>Quality</t>
        </is>
      </c>
      <c r="F56" t="inlineStr">
        <is>
          <t>Direction</t>
        </is>
      </c>
      <c r="G56" t="inlineStr">
        <is>
          <t>Execution</t>
        </is>
      </c>
    </row>
    <row r="57">
      <c r="A57" t="inlineStr">
        <is>
          <t>TODO</t>
        </is>
      </c>
    </row>
    <row r="59">
      <c r="A59" s="1" t="inlineStr">
        <is>
          <t>Cloud System DT</t>
        </is>
      </c>
    </row>
    <row r="60">
      <c r="A60" t="inlineStr">
        <is>
          <t>Sourcing</t>
        </is>
      </c>
      <c r="B60" t="inlineStr">
        <is>
          <t>Watchlist</t>
        </is>
      </c>
      <c r="C60" t="inlineStr">
        <is>
          <t>MACD Scanner</t>
        </is>
      </c>
      <c r="D60" t="inlineStr">
        <is>
          <t>Relative Scanner</t>
        </is>
      </c>
      <c r="E60" t="inlineStr">
        <is>
          <t>Momentum Scanner</t>
        </is>
      </c>
    </row>
    <row r="61">
      <c r="A61" t="inlineStr">
        <is>
          <t>Recording System</t>
        </is>
      </c>
      <c r="B61" t="inlineStr">
        <is>
          <t>TraderSync</t>
        </is>
      </c>
      <c r="C61" t="inlineStr">
        <is>
          <t>Journal</t>
        </is>
      </c>
    </row>
    <row r="62">
      <c r="A62" t="inlineStr">
        <is>
          <t>Enter Criteria</t>
        </is>
      </c>
      <c r="B62" t="inlineStr">
        <is>
          <t>10m chart</t>
        </is>
      </c>
      <c r="C62" t="inlineStr">
        <is>
          <t>Enter when the candle close crosses the 34-50 cloud.</t>
        </is>
      </c>
    </row>
    <row r="63">
      <c r="A63" t="inlineStr">
        <is>
          <t>Early Entry Criteria</t>
        </is>
      </c>
      <c r="B63" t="inlineStr">
        <is>
          <t>Enter as the candle is breaking the cloud.</t>
        </is>
      </c>
    </row>
    <row r="64">
      <c r="A64" t="inlineStr">
        <is>
          <t>Exit Criteria</t>
        </is>
      </c>
      <c r="B64" t="inlineStr">
        <is>
          <t>Close breaks the 5-12 cloud.</t>
        </is>
      </c>
    </row>
    <row r="65">
      <c r="A65" t="inlineStr">
        <is>
          <t>Confirmation Criteria</t>
        </is>
      </c>
      <c r="B65" t="inlineStr">
        <is>
          <t>Confirmation is defined as a close cross the cloud.</t>
        </is>
      </c>
    </row>
    <row r="66">
      <c r="A66" t="inlineStr">
        <is>
          <t>Quality Considerations</t>
        </is>
      </c>
      <c r="B66" t="inlineStr">
        <is>
          <t>Confirmation</t>
        </is>
      </c>
      <c r="C66" t="inlineStr">
        <is>
          <t>SPY RSI H trend</t>
        </is>
      </c>
      <c r="D66" t="inlineStr">
        <is>
          <t>Favorable Relativeness</t>
        </is>
      </c>
      <c r="E66" s="31" t="inlineStr">
        <is>
          <t>RR</t>
        </is>
      </c>
    </row>
    <row r="67">
      <c r="A67" t="inlineStr">
        <is>
          <t>Quality Criteria</t>
        </is>
      </c>
      <c r="B67" t="inlineStr">
        <is>
          <t>HQ= confirmation + 2</t>
        </is>
      </c>
      <c r="C67" t="inlineStr">
        <is>
          <t>MQ= confirmation + 1</t>
        </is>
      </c>
      <c r="D67" t="inlineStr">
        <is>
          <t>LQ= early + 1</t>
        </is>
      </c>
    </row>
    <row r="68">
      <c r="A68" t="inlineStr">
        <is>
          <t>Kaizen</t>
        </is>
      </c>
      <c r="B68" t="inlineStr">
        <is>
          <t>Size of the trade will need to be improved</t>
        </is>
      </c>
      <c r="C68" t="inlineStr">
        <is>
          <t>Options versus stock will need definition</t>
        </is>
      </c>
      <c r="D68" t="inlineStr">
        <is>
          <t>Early entries worth it or not</t>
        </is>
      </c>
      <c r="E68" s="31" t="inlineStr">
        <is>
          <t>Come up with an RR value</t>
        </is>
      </c>
      <c r="F68" t="inlineStr">
        <is>
          <t>Correlation of confirmation bias</t>
        </is>
      </c>
    </row>
    <row r="69">
      <c r="A69" t="inlineStr">
        <is>
          <t>Execution Review Criteria</t>
        </is>
      </c>
      <c r="B69" t="inlineStr">
        <is>
          <t>Exited as defined in the criteria or not.</t>
        </is>
      </c>
      <c r="C69" t="inlineStr">
        <is>
          <t xml:space="preserve">Max gain analysis. </t>
        </is>
      </c>
    </row>
    <row r="70">
      <c r="A70" t="inlineStr">
        <is>
          <t>Backtesting</t>
        </is>
      </c>
      <c r="B70" t="inlineStr">
        <is>
          <t>Yes</t>
        </is>
      </c>
    </row>
    <row r="71">
      <c r="A71" t="inlineStr">
        <is>
          <t>Retrospective Period</t>
        </is>
      </c>
      <c r="B71" t="inlineStr">
        <is>
          <t>EOD</t>
        </is>
      </c>
    </row>
    <row r="72">
      <c r="A72" t="inlineStr">
        <is>
          <t>Exit Feeling Record</t>
        </is>
      </c>
      <c r="B72" t="inlineStr">
        <is>
          <t>Yes</t>
        </is>
      </c>
    </row>
    <row r="73">
      <c r="A73" t="inlineStr">
        <is>
          <t>Current Version</t>
        </is>
      </c>
      <c r="B73" t="n">
        <v>0.1</v>
      </c>
    </row>
    <row r="74">
      <c r="A74" t="inlineStr">
        <is>
          <t>Scoring KPI of Strategy</t>
        </is>
      </c>
      <c r="B74" t="inlineStr">
        <is>
          <t>Profit factor</t>
        </is>
      </c>
      <c r="C74" t="inlineStr">
        <is>
          <t>Avrg Return</t>
        </is>
      </c>
      <c r="D74" s="16" t="inlineStr">
        <is>
          <t>Best Exit</t>
        </is>
      </c>
    </row>
    <row r="75">
      <c r="A75" t="inlineStr">
        <is>
          <t>Tagging System</t>
        </is>
      </c>
      <c r="B75" t="inlineStr">
        <is>
          <t>CSDT</t>
        </is>
      </c>
      <c r="C75" t="inlineStr">
        <is>
          <t>Confirmation</t>
        </is>
      </c>
      <c r="D75" t="inlineStr">
        <is>
          <t>Relativeness</t>
        </is>
      </c>
      <c r="E75" t="inlineStr">
        <is>
          <t>Quality</t>
        </is>
      </c>
      <c r="F75" t="inlineStr">
        <is>
          <t>Direction</t>
        </is>
      </c>
      <c r="G75" t="inlineStr">
        <is>
          <t>Execution</t>
        </is>
      </c>
    </row>
    <row r="76">
      <c r="A76" t="inlineStr">
        <is>
          <t>TODO</t>
        </is>
      </c>
    </row>
    <row r="78">
      <c r="A78" s="1" t="inlineStr">
        <is>
          <t>Cloud System DT Variant</t>
        </is>
      </c>
    </row>
    <row r="79">
      <c r="A79" t="inlineStr">
        <is>
          <t>Sourcing</t>
        </is>
      </c>
      <c r="B79" t="inlineStr">
        <is>
          <t>Watchlist</t>
        </is>
      </c>
      <c r="C79" t="inlineStr">
        <is>
          <t>MACD Scanner</t>
        </is>
      </c>
      <c r="D79" t="inlineStr">
        <is>
          <t>Relative Scanner</t>
        </is>
      </c>
      <c r="E79" t="inlineStr">
        <is>
          <t>Momentum Scanner</t>
        </is>
      </c>
    </row>
    <row r="80">
      <c r="A80" t="inlineStr">
        <is>
          <t>Recording System</t>
        </is>
      </c>
      <c r="B80" t="inlineStr">
        <is>
          <t>TraderSync</t>
        </is>
      </c>
      <c r="C80" t="inlineStr">
        <is>
          <t>Journal</t>
        </is>
      </c>
    </row>
    <row r="81">
      <c r="A81" t="inlineStr">
        <is>
          <t>Enter Criteria</t>
        </is>
      </c>
      <c r="B81" t="inlineStr">
        <is>
          <t>10m chart</t>
        </is>
      </c>
      <c r="C81" t="inlineStr">
        <is>
          <t>Enter when the 34-50 clouds crosses a pivot line.</t>
        </is>
      </c>
    </row>
    <row r="82">
      <c r="A82" t="inlineStr">
        <is>
          <t>Early Entry Criteria</t>
        </is>
      </c>
      <c r="B82" s="31" t="inlineStr">
        <is>
          <t>TBD</t>
        </is>
      </c>
    </row>
    <row r="83">
      <c r="A83" t="inlineStr">
        <is>
          <t>Exit Criteria</t>
        </is>
      </c>
      <c r="B83" t="inlineStr">
        <is>
          <t>Close breaks the 5-12 cloud.</t>
        </is>
      </c>
    </row>
    <row r="84">
      <c r="A84" t="inlineStr">
        <is>
          <t>Confirmation Criteria</t>
        </is>
      </c>
      <c r="B84" t="inlineStr">
        <is>
          <t>Confirmation is defined as 34-50 cross of a pivot point.</t>
        </is>
      </c>
    </row>
    <row r="85">
      <c r="A85" t="inlineStr">
        <is>
          <t>Quality Considerations</t>
        </is>
      </c>
      <c r="B85" t="inlineStr">
        <is>
          <t>Confirmation</t>
        </is>
      </c>
      <c r="C85" t="inlineStr">
        <is>
          <t>SPY RSI H trend</t>
        </is>
      </c>
      <c r="D85" t="inlineStr">
        <is>
          <t>Favorable Relativeness</t>
        </is>
      </c>
      <c r="E85" s="31" t="inlineStr">
        <is>
          <t>RR</t>
        </is>
      </c>
    </row>
    <row r="86">
      <c r="A86" t="inlineStr">
        <is>
          <t>Quality Criteria</t>
        </is>
      </c>
      <c r="B86" t="inlineStr">
        <is>
          <t>HQ= confirmation + 2</t>
        </is>
      </c>
      <c r="C86" t="inlineStr">
        <is>
          <t>MQ= confirmation + 1</t>
        </is>
      </c>
      <c r="D86" t="inlineStr">
        <is>
          <t>LQ= early + 1</t>
        </is>
      </c>
    </row>
    <row r="87">
      <c r="A87" t="inlineStr">
        <is>
          <t>Kaizen</t>
        </is>
      </c>
      <c r="B87" t="inlineStr">
        <is>
          <t>Size of the trade will need to be improved</t>
        </is>
      </c>
      <c r="C87" t="inlineStr">
        <is>
          <t>Options versus stock will need definition</t>
        </is>
      </c>
      <c r="D87" t="inlineStr">
        <is>
          <t>Early entries worth it or not</t>
        </is>
      </c>
      <c r="E87" s="31" t="inlineStr">
        <is>
          <t>Come up with an RR value</t>
        </is>
      </c>
      <c r="F87" t="inlineStr">
        <is>
          <t>Correlation of confirmation bias</t>
        </is>
      </c>
      <c r="G87" t="inlineStr">
        <is>
          <t>Determine which pivot points are best.</t>
        </is>
      </c>
    </row>
    <row r="88">
      <c r="A88" t="inlineStr">
        <is>
          <t>Execution Review Criteria</t>
        </is>
      </c>
      <c r="B88" t="inlineStr">
        <is>
          <t>Exited as defined in the criteria or not</t>
        </is>
      </c>
      <c r="C88" t="inlineStr">
        <is>
          <t xml:space="preserve">Max gain analysis. </t>
        </is>
      </c>
    </row>
    <row r="89">
      <c r="A89" t="inlineStr">
        <is>
          <t>Backtesting</t>
        </is>
      </c>
      <c r="B89" t="inlineStr">
        <is>
          <t>Yes</t>
        </is>
      </c>
    </row>
    <row r="90">
      <c r="A90" t="inlineStr">
        <is>
          <t>Retrospective Period</t>
        </is>
      </c>
      <c r="B90" t="inlineStr">
        <is>
          <t>EOD</t>
        </is>
      </c>
    </row>
    <row r="91">
      <c r="A91" t="inlineStr">
        <is>
          <t>Exit Feeling Record</t>
        </is>
      </c>
      <c r="B91" t="inlineStr">
        <is>
          <t>Yes</t>
        </is>
      </c>
    </row>
    <row r="92">
      <c r="A92" t="inlineStr">
        <is>
          <t>Current Version</t>
        </is>
      </c>
      <c r="B92" t="n">
        <v>0.1</v>
      </c>
    </row>
    <row r="93">
      <c r="A93" t="inlineStr">
        <is>
          <t>Scoring KPI of Strategy</t>
        </is>
      </c>
      <c r="B93" t="inlineStr">
        <is>
          <t>Profit factor</t>
        </is>
      </c>
      <c r="C93" t="inlineStr">
        <is>
          <t>Avrg Return</t>
        </is>
      </c>
      <c r="D93" s="16" t="inlineStr">
        <is>
          <t>Best Exit</t>
        </is>
      </c>
    </row>
    <row r="94">
      <c r="A94" t="inlineStr">
        <is>
          <t>Tagging System</t>
        </is>
      </c>
      <c r="B94" t="inlineStr">
        <is>
          <t>CSDTV</t>
        </is>
      </c>
      <c r="C94" t="inlineStr">
        <is>
          <t>Confirmation</t>
        </is>
      </c>
      <c r="D94" t="inlineStr">
        <is>
          <t>Relativeness</t>
        </is>
      </c>
      <c r="E94" t="inlineStr">
        <is>
          <t>Quality</t>
        </is>
      </c>
      <c r="F94" t="inlineStr">
        <is>
          <t>Direction</t>
        </is>
      </c>
      <c r="G94" t="inlineStr">
        <is>
          <t>Execution</t>
        </is>
      </c>
      <c r="H94" t="inlineStr">
        <is>
          <t>Pivot Point</t>
        </is>
      </c>
    </row>
    <row r="95">
      <c r="A95" t="inlineStr">
        <is>
          <t>TODO</t>
        </is>
      </c>
    </row>
    <row r="97">
      <c r="A97" s="1" t="inlineStr">
        <is>
          <t>Strong Swings</t>
        </is>
      </c>
    </row>
    <row r="98">
      <c r="A98" t="inlineStr">
        <is>
          <t>Sourcing</t>
        </is>
      </c>
      <c r="B98" t="inlineStr">
        <is>
          <t>Watchlist</t>
        </is>
      </c>
      <c r="C98" t="inlineStr">
        <is>
          <t>MACD Scanner</t>
        </is>
      </c>
      <c r="D98" t="inlineStr">
        <is>
          <t>Relative Scanner</t>
        </is>
      </c>
      <c r="E98" t="inlineStr">
        <is>
          <t>Alerts</t>
        </is>
      </c>
    </row>
    <row r="99">
      <c r="A99" t="inlineStr">
        <is>
          <t>Recording System</t>
        </is>
      </c>
      <c r="B99" t="inlineStr">
        <is>
          <t>TraderSync</t>
        </is>
      </c>
      <c r="C99" t="inlineStr">
        <is>
          <t>Journal</t>
        </is>
      </c>
    </row>
    <row r="100">
      <c r="A100" t="inlineStr">
        <is>
          <t>Enter Criteria</t>
        </is>
      </c>
      <c r="B100" t="inlineStr">
        <is>
          <t>D chart</t>
        </is>
      </c>
      <c r="C100" t="inlineStr">
        <is>
          <t>Enter when confirmation happens at a strong level</t>
        </is>
      </c>
    </row>
    <row r="101">
      <c r="A101" t="inlineStr">
        <is>
          <t>Early Entry Criteria</t>
        </is>
      </c>
      <c r="B101" s="31" t="inlineStr">
        <is>
          <t>Enter as soon as level is reached</t>
        </is>
      </c>
    </row>
    <row r="102">
      <c r="A102" t="inlineStr">
        <is>
          <t>Exit Criteria</t>
        </is>
      </c>
      <c r="B102" t="inlineStr">
        <is>
          <t>RR level is met</t>
        </is>
      </c>
    </row>
    <row r="103">
      <c r="A103" t="inlineStr">
        <is>
          <t>Confirmation Criteria</t>
        </is>
      </c>
      <c r="B103" s="31" t="inlineStr">
        <is>
          <t>Confirmation is defined as resolution of outcome after touching the line. Need to work more on this definition.</t>
        </is>
      </c>
    </row>
    <row r="104">
      <c r="A104" t="inlineStr">
        <is>
          <t>Quality Considerations</t>
        </is>
      </c>
      <c r="B104" t="inlineStr">
        <is>
          <t>Confirmation</t>
        </is>
      </c>
      <c r="C104" t="inlineStr">
        <is>
          <t>SPY RSI H trend</t>
        </is>
      </c>
      <c r="D104" t="inlineStr">
        <is>
          <t>Favorable Relativeness</t>
        </is>
      </c>
      <c r="E104" t="inlineStr">
        <is>
          <t>RR</t>
        </is>
      </c>
    </row>
    <row r="105">
      <c r="A105" t="inlineStr">
        <is>
          <t>Quality Criteria</t>
        </is>
      </c>
      <c r="B105" t="inlineStr">
        <is>
          <t>HQ= confirmation + 2</t>
        </is>
      </c>
      <c r="C105" t="inlineStr">
        <is>
          <t>MQ= confirmation + 1</t>
        </is>
      </c>
      <c r="D105" t="inlineStr">
        <is>
          <t>LQ= early + 1</t>
        </is>
      </c>
    </row>
    <row r="106">
      <c r="A106" t="inlineStr">
        <is>
          <t>Kaizen</t>
        </is>
      </c>
      <c r="B106" t="inlineStr">
        <is>
          <t>Size of the trade will need to be improved</t>
        </is>
      </c>
      <c r="C106" t="inlineStr">
        <is>
          <t>Options versus stock will need definition</t>
        </is>
      </c>
      <c r="D106" t="inlineStr">
        <is>
          <t>Early entries worth it or not</t>
        </is>
      </c>
      <c r="E106" s="31" t="inlineStr">
        <is>
          <t>Come up with an RR value</t>
        </is>
      </c>
      <c r="F106" t="inlineStr">
        <is>
          <t>Correlation of confirmation bias</t>
        </is>
      </c>
      <c r="G106" t="inlineStr">
        <is>
          <t>Determine which pivot points are best.</t>
        </is>
      </c>
      <c r="H106" t="inlineStr">
        <is>
          <t>Reversal vs Continuation analysis</t>
        </is>
      </c>
    </row>
    <row r="107">
      <c r="A107" t="inlineStr">
        <is>
          <t>Execution Review Criteria</t>
        </is>
      </c>
      <c r="B107" t="inlineStr">
        <is>
          <t>Exited as defined in the criteria or not</t>
        </is>
      </c>
      <c r="C107" t="inlineStr">
        <is>
          <t xml:space="preserve">Max gain analysis. </t>
        </is>
      </c>
      <c r="D107" t="inlineStr">
        <is>
          <t>Optimization of taking profits along the way</t>
        </is>
      </c>
    </row>
    <row r="108">
      <c r="A108" t="inlineStr">
        <is>
          <t>Backtesting</t>
        </is>
      </c>
      <c r="B108" t="inlineStr">
        <is>
          <t>Yes</t>
        </is>
      </c>
    </row>
    <row r="109">
      <c r="A109" t="inlineStr">
        <is>
          <t>Retrospective Period</t>
        </is>
      </c>
      <c r="B109" t="inlineStr">
        <is>
          <t>EOW</t>
        </is>
      </c>
    </row>
    <row r="110">
      <c r="A110" t="inlineStr">
        <is>
          <t>Exit Feeling Record</t>
        </is>
      </c>
      <c r="B110" t="inlineStr">
        <is>
          <t>Yes</t>
        </is>
      </c>
    </row>
    <row r="111">
      <c r="A111" t="inlineStr">
        <is>
          <t>Current Version</t>
        </is>
      </c>
      <c r="B111" t="n">
        <v>0.1</v>
      </c>
    </row>
    <row r="112">
      <c r="A112" t="inlineStr">
        <is>
          <t>Scoring KPI of Strategy</t>
        </is>
      </c>
      <c r="B112" t="inlineStr">
        <is>
          <t>Profit factor</t>
        </is>
      </c>
      <c r="C112" t="inlineStr">
        <is>
          <t>Avrg Return</t>
        </is>
      </c>
      <c r="D112" s="16" t="inlineStr">
        <is>
          <t>Best Exit</t>
        </is>
      </c>
    </row>
    <row r="113">
      <c r="A113" t="inlineStr">
        <is>
          <t>Tagging System</t>
        </is>
      </c>
      <c r="B113" t="inlineStr">
        <is>
          <t>SW</t>
        </is>
      </c>
      <c r="C113" t="inlineStr">
        <is>
          <t>Confirmation</t>
        </is>
      </c>
      <c r="D113" t="inlineStr">
        <is>
          <t>Relativeness</t>
        </is>
      </c>
      <c r="E113" t="inlineStr">
        <is>
          <t>Quality</t>
        </is>
      </c>
      <c r="F113" t="inlineStr">
        <is>
          <t>Direction</t>
        </is>
      </c>
      <c r="G113" t="inlineStr">
        <is>
          <t>Execution</t>
        </is>
      </c>
      <c r="H113" t="inlineStr">
        <is>
          <t>Pivot Point</t>
        </is>
      </c>
    </row>
    <row r="114">
      <c r="A114" t="inlineStr">
        <is>
          <t>TODO</t>
        </is>
      </c>
      <c r="B114" t="inlineStr">
        <is>
          <t>Need backtesting to check what a confirmation has looked like in the past.</t>
        </is>
      </c>
    </row>
    <row r="116">
      <c r="A116" s="1" t="inlineStr">
        <is>
          <t>Strong Level Quick Trades</t>
        </is>
      </c>
    </row>
    <row r="117">
      <c r="A117" t="inlineStr">
        <is>
          <t>Sourcing</t>
        </is>
      </c>
      <c r="B117" t="inlineStr">
        <is>
          <t>Watchlist</t>
        </is>
      </c>
      <c r="C117" t="inlineStr">
        <is>
          <t>MACD Scanner</t>
        </is>
      </c>
      <c r="D117" t="inlineStr">
        <is>
          <t>Relative Scanner</t>
        </is>
      </c>
      <c r="E117" t="inlineStr">
        <is>
          <t>Alerts</t>
        </is>
      </c>
    </row>
    <row r="118">
      <c r="A118" t="inlineStr">
        <is>
          <t>Recording System</t>
        </is>
      </c>
      <c r="B118" t="inlineStr">
        <is>
          <t>TraderSync</t>
        </is>
      </c>
      <c r="C118" t="inlineStr">
        <is>
          <t>Journal</t>
        </is>
      </c>
    </row>
    <row r="119">
      <c r="A119" t="inlineStr">
        <is>
          <t>Enter Criteria</t>
        </is>
      </c>
      <c r="B119" t="inlineStr">
        <is>
          <t>10m Chart</t>
        </is>
      </c>
      <c r="C119" t="inlineStr">
        <is>
          <t>Enter when the first candle closes favorable (big wick, reversal close), join the reversal.</t>
        </is>
      </c>
    </row>
    <row r="120">
      <c r="A120" t="inlineStr">
        <is>
          <t>Early Entry Criteria</t>
        </is>
      </c>
      <c r="B120" s="31" t="inlineStr">
        <is>
          <t>Enter as soon as level is reached</t>
        </is>
      </c>
    </row>
    <row r="121">
      <c r="A121" t="inlineStr">
        <is>
          <t>Exit Criteria</t>
        </is>
      </c>
      <c r="B121" t="inlineStr">
        <is>
          <t>RR level is met</t>
        </is>
      </c>
    </row>
    <row r="122">
      <c r="A122" t="inlineStr">
        <is>
          <t>Confirmation Criteria</t>
        </is>
      </c>
      <c r="B122" s="31" t="inlineStr">
        <is>
          <t>Confirmation is defined as a candle closing below previous candle low</t>
        </is>
      </c>
      <c r="C122" t="inlineStr">
        <is>
          <t>Retested is defined as pivot point failed a second a time</t>
        </is>
      </c>
    </row>
    <row r="123">
      <c r="A123" t="inlineStr">
        <is>
          <t>Quality Considerations</t>
        </is>
      </c>
      <c r="B123" t="inlineStr">
        <is>
          <t>Confirmation</t>
        </is>
      </c>
      <c r="C123" t="inlineStr">
        <is>
          <t>SPY RSI H trend</t>
        </is>
      </c>
      <c r="D123" t="inlineStr">
        <is>
          <t>Favorable Relativeness</t>
        </is>
      </c>
      <c r="E123" t="inlineStr">
        <is>
          <t>Retested</t>
        </is>
      </c>
    </row>
    <row r="124">
      <c r="A124" t="inlineStr">
        <is>
          <t>Quality Criteria</t>
        </is>
      </c>
      <c r="B124" t="inlineStr">
        <is>
          <t>HQ= confirmation + 2</t>
        </is>
      </c>
      <c r="C124" t="inlineStr">
        <is>
          <t>MQ= confirmation + 1</t>
        </is>
      </c>
      <c r="D124" t="inlineStr">
        <is>
          <t>LQ= early + 1</t>
        </is>
      </c>
    </row>
    <row r="125">
      <c r="A125" t="inlineStr">
        <is>
          <t>Kaizen</t>
        </is>
      </c>
      <c r="B125" t="inlineStr">
        <is>
          <t>Size of the trade will need to be improved</t>
        </is>
      </c>
      <c r="C125" t="inlineStr">
        <is>
          <t>Options versus stock will need definition</t>
        </is>
      </c>
      <c r="D125" t="inlineStr">
        <is>
          <t>Early entries worth it or not</t>
        </is>
      </c>
      <c r="E125" s="31" t="inlineStr">
        <is>
          <t>Find if it's worth confirmation of a candle close</t>
        </is>
      </c>
      <c r="F125" t="inlineStr">
        <is>
          <t>Find which lines work best as pivot points</t>
        </is>
      </c>
      <c r="G125" t="inlineStr">
        <is>
          <t>Find relation with market trend as confirmation bias</t>
        </is>
      </c>
      <c r="H125" t="inlineStr">
        <is>
          <t>See if 5m chart works better</t>
        </is>
      </c>
      <c r="I125" t="inlineStr">
        <is>
          <t>Find if retested and a second fail can work as better confirmation</t>
        </is>
      </c>
    </row>
    <row r="126">
      <c r="A126" t="inlineStr">
        <is>
          <t>Execution Review Criteria</t>
        </is>
      </c>
      <c r="B126" t="inlineStr">
        <is>
          <t>Exited as defined in the criteria or not</t>
        </is>
      </c>
      <c r="C126" t="inlineStr">
        <is>
          <t xml:space="preserve">Max gain analysis. </t>
        </is>
      </c>
    </row>
    <row r="127">
      <c r="A127" t="inlineStr">
        <is>
          <t>Backtesting</t>
        </is>
      </c>
      <c r="B127" t="inlineStr">
        <is>
          <t>Yes</t>
        </is>
      </c>
    </row>
    <row r="128">
      <c r="A128" t="inlineStr">
        <is>
          <t>Retrospective Period</t>
        </is>
      </c>
      <c r="B128" t="inlineStr">
        <is>
          <t>EOW</t>
        </is>
      </c>
    </row>
    <row r="129">
      <c r="A129" t="inlineStr">
        <is>
          <t>Exit Feeling Record</t>
        </is>
      </c>
      <c r="B129" t="inlineStr">
        <is>
          <t>Yes</t>
        </is>
      </c>
    </row>
    <row r="130">
      <c r="A130" t="inlineStr">
        <is>
          <t>Current Version</t>
        </is>
      </c>
      <c r="B130" t="n">
        <v>0.1</v>
      </c>
    </row>
    <row r="131">
      <c r="A131" t="inlineStr">
        <is>
          <t>Scoring KPI of Strategy</t>
        </is>
      </c>
      <c r="B131" t="inlineStr">
        <is>
          <t>Profit factor</t>
        </is>
      </c>
      <c r="C131" t="inlineStr">
        <is>
          <t>Avrg Return</t>
        </is>
      </c>
      <c r="D131" s="16" t="inlineStr">
        <is>
          <t>Best Exit</t>
        </is>
      </c>
    </row>
    <row r="132">
      <c r="A132" t="inlineStr">
        <is>
          <t>Tagging System</t>
        </is>
      </c>
      <c r="B132" t="inlineStr">
        <is>
          <t>SLQT</t>
        </is>
      </c>
      <c r="C132" t="inlineStr">
        <is>
          <t>Confirmation</t>
        </is>
      </c>
      <c r="D132" t="inlineStr">
        <is>
          <t>Relativeness</t>
        </is>
      </c>
      <c r="E132" t="inlineStr">
        <is>
          <t>Quality</t>
        </is>
      </c>
      <c r="F132" t="inlineStr">
        <is>
          <t>Execution</t>
        </is>
      </c>
      <c r="G132" t="inlineStr">
        <is>
          <t>Pivot Point</t>
        </is>
      </c>
    </row>
    <row r="133">
      <c r="A133" t="inlineStr">
        <is>
          <t>TODO</t>
        </is>
      </c>
      <c r="B133" t="inlineStr">
        <is>
          <t>Need backtesting to check what lines work better</t>
        </is>
      </c>
      <c r="C133" t="inlineStr">
        <is>
          <t>See if an RR can be defined by waiting for the first candle to close</t>
        </is>
      </c>
    </row>
    <row r="135">
      <c r="A135" s="1" t="inlineStr">
        <is>
          <t>Trend 10 min Trades</t>
        </is>
      </c>
    </row>
    <row r="136">
      <c r="A136" t="inlineStr">
        <is>
          <t>Sourcing</t>
        </is>
      </c>
      <c r="B136" t="inlineStr">
        <is>
          <t>Watchlist</t>
        </is>
      </c>
      <c r="C136" t="inlineStr">
        <is>
          <t>MACD Scanner</t>
        </is>
      </c>
      <c r="D136" t="inlineStr">
        <is>
          <t>Relative Scanner</t>
        </is>
      </c>
      <c r="E136" t="inlineStr">
        <is>
          <t>Alerts</t>
        </is>
      </c>
    </row>
    <row r="137">
      <c r="A137" t="inlineStr">
        <is>
          <t>Recording System</t>
        </is>
      </c>
      <c r="B137" t="inlineStr">
        <is>
          <t>TraderSync</t>
        </is>
      </c>
      <c r="C137" t="inlineStr">
        <is>
          <t>Journal</t>
        </is>
      </c>
    </row>
    <row r="138">
      <c r="A138" t="inlineStr">
        <is>
          <t>Enter Criteria</t>
        </is>
      </c>
      <c r="B138" t="inlineStr">
        <is>
          <t>10m Chart</t>
        </is>
      </c>
      <c r="C138" t="inlineStr">
        <is>
          <t>Enter when daily defined levels are broken or failed to be broken by candle close</t>
        </is>
      </c>
    </row>
    <row r="139">
      <c r="A139" t="inlineStr">
        <is>
          <t>Early Entry Criteria</t>
        </is>
      </c>
      <c r="B139" s="31" t="inlineStr">
        <is>
          <t>Enter as soon as something is happening at level (broken or failed)</t>
        </is>
      </c>
    </row>
    <row r="140">
      <c r="A140" t="inlineStr">
        <is>
          <t>Exit Criteria</t>
        </is>
      </c>
      <c r="B140" t="inlineStr">
        <is>
          <t>Profit level is met</t>
        </is>
      </c>
    </row>
    <row r="141">
      <c r="A141" t="inlineStr">
        <is>
          <t>Confirmation Criteria</t>
        </is>
      </c>
      <c r="B141" s="31" t="inlineStr">
        <is>
          <t>Confirmation is defined by a candle closing with the trend</t>
        </is>
      </c>
    </row>
    <row r="142">
      <c r="A142" t="inlineStr">
        <is>
          <t>Quality Considerations</t>
        </is>
      </c>
      <c r="B142" t="inlineStr">
        <is>
          <t>Confirmation</t>
        </is>
      </c>
      <c r="C142" t="inlineStr">
        <is>
          <t>SPY RSI H trend</t>
        </is>
      </c>
      <c r="D142" t="inlineStr">
        <is>
          <t>Favorable Relativeness</t>
        </is>
      </c>
      <c r="E142" t="inlineStr">
        <is>
          <t>Retested</t>
        </is>
      </c>
    </row>
    <row r="143">
      <c r="A143" t="inlineStr">
        <is>
          <t>Quality Criteria</t>
        </is>
      </c>
      <c r="B143" t="inlineStr">
        <is>
          <t>HQ= confirmation + 2</t>
        </is>
      </c>
      <c r="C143" t="inlineStr">
        <is>
          <t>MQ= confirmation + 1</t>
        </is>
      </c>
      <c r="D143" t="inlineStr">
        <is>
          <t>LQ= early + 1</t>
        </is>
      </c>
    </row>
    <row r="144">
      <c r="A144" t="inlineStr">
        <is>
          <t>Kaizen</t>
        </is>
      </c>
      <c r="B144" t="inlineStr">
        <is>
          <t>Size of the trade will need to be improved</t>
        </is>
      </c>
      <c r="C144" t="inlineStr">
        <is>
          <t>Options versus stock will need definition</t>
        </is>
      </c>
      <c r="D144" t="inlineStr">
        <is>
          <t>Early entries worth it or not</t>
        </is>
      </c>
      <c r="E144" s="31" t="inlineStr">
        <is>
          <t>Find if it's worth confirmation of a candle close</t>
        </is>
      </c>
      <c r="F144" t="inlineStr">
        <is>
          <t>Find relation with market trend as confirmation bias</t>
        </is>
      </c>
      <c r="G144" t="inlineStr">
        <is>
          <t>See if 5m chart works better</t>
        </is>
      </c>
    </row>
    <row r="145">
      <c r="A145" t="inlineStr">
        <is>
          <t>Execution Review Criteria</t>
        </is>
      </c>
      <c r="B145" t="inlineStr">
        <is>
          <t>Exited as defined in the criteria or not</t>
        </is>
      </c>
      <c r="C145" t="inlineStr">
        <is>
          <t xml:space="preserve">Max gain analysis. </t>
        </is>
      </c>
    </row>
    <row r="146">
      <c r="A146" t="inlineStr">
        <is>
          <t>Backtesting</t>
        </is>
      </c>
      <c r="B146" t="inlineStr">
        <is>
          <t>Yes</t>
        </is>
      </c>
    </row>
    <row r="147">
      <c r="A147" t="inlineStr">
        <is>
          <t>Retrospective Period</t>
        </is>
      </c>
      <c r="B147" t="inlineStr">
        <is>
          <t>EOW</t>
        </is>
      </c>
    </row>
    <row r="148">
      <c r="A148" t="inlineStr">
        <is>
          <t>Exit Feeling Record</t>
        </is>
      </c>
      <c r="B148" t="inlineStr">
        <is>
          <t>Yes</t>
        </is>
      </c>
    </row>
    <row r="149">
      <c r="A149" t="inlineStr">
        <is>
          <t>Current Version</t>
        </is>
      </c>
      <c r="B149" t="n">
        <v>0.1</v>
      </c>
    </row>
    <row r="150">
      <c r="A150" t="inlineStr">
        <is>
          <t>Scoring KPI of Strategy</t>
        </is>
      </c>
      <c r="B150" t="inlineStr">
        <is>
          <t>Profit factor</t>
        </is>
      </c>
      <c r="C150" t="inlineStr">
        <is>
          <t>Avrg Return</t>
        </is>
      </c>
      <c r="D150" s="16" t="inlineStr">
        <is>
          <t>Best Exit</t>
        </is>
      </c>
    </row>
    <row r="151">
      <c r="A151" t="inlineStr">
        <is>
          <t>Tagging System</t>
        </is>
      </c>
      <c r="B151" t="inlineStr">
        <is>
          <t>DT</t>
        </is>
      </c>
      <c r="C151" t="inlineStr">
        <is>
          <t>Confirmation</t>
        </is>
      </c>
      <c r="D151" t="inlineStr">
        <is>
          <t>Relativeness</t>
        </is>
      </c>
      <c r="E151" t="inlineStr">
        <is>
          <t>Quality</t>
        </is>
      </c>
      <c r="F151" t="inlineStr">
        <is>
          <t>Execution</t>
        </is>
      </c>
      <c r="G151" t="inlineStr">
        <is>
          <t>Pivot Point</t>
        </is>
      </c>
    </row>
    <row r="152">
      <c r="A152" t="inlineStr">
        <is>
          <t>TODO</t>
        </is>
      </c>
    </row>
    <row r="154">
      <c r="A154" s="1" t="inlineStr">
        <is>
          <t>Zack Morris SPY trades</t>
        </is>
      </c>
    </row>
    <row r="155">
      <c r="A155" t="inlineStr">
        <is>
          <t>Sourcing</t>
        </is>
      </c>
      <c r="B155" t="inlineStr">
        <is>
          <t>FU Club Discord</t>
        </is>
      </c>
    </row>
    <row r="156">
      <c r="A156" t="inlineStr">
        <is>
          <t>Recording System</t>
        </is>
      </c>
      <c r="B156" t="inlineStr">
        <is>
          <t>TraderSync</t>
        </is>
      </c>
      <c r="C156" t="inlineStr">
        <is>
          <t>Journal</t>
        </is>
      </c>
    </row>
    <row r="157">
      <c r="A157" t="inlineStr">
        <is>
          <t>Enter Criteria</t>
        </is>
      </c>
      <c r="B157" t="inlineStr">
        <is>
          <t>Matching price to call</t>
        </is>
      </c>
    </row>
    <row r="158">
      <c r="A158" t="inlineStr">
        <is>
          <t>Early Entry Criteria</t>
        </is>
      </c>
      <c r="B158" t="inlineStr">
        <is>
          <t>Cheaper price than ZM</t>
        </is>
      </c>
    </row>
    <row r="159">
      <c r="A159" t="inlineStr">
        <is>
          <t>Exit Criteria</t>
        </is>
      </c>
      <c r="B159" t="inlineStr">
        <is>
          <t>30% profit</t>
        </is>
      </c>
    </row>
    <row r="160">
      <c r="A160" t="inlineStr">
        <is>
          <t>Confirmation Criteria</t>
        </is>
      </c>
      <c r="B160" t="inlineStr">
        <is>
          <t>Seeing ZM call</t>
        </is>
      </c>
    </row>
    <row r="161">
      <c r="A161" t="inlineStr">
        <is>
          <t>Quality Considerations</t>
        </is>
      </c>
      <c r="B161" t="inlineStr">
        <is>
          <t>NA</t>
        </is>
      </c>
    </row>
    <row r="162">
      <c r="A162" t="inlineStr">
        <is>
          <t>Quality Criteria</t>
        </is>
      </c>
      <c r="B162" t="inlineStr">
        <is>
          <t>NA</t>
        </is>
      </c>
    </row>
    <row r="163">
      <c r="A163" t="inlineStr">
        <is>
          <t>Kaizen</t>
        </is>
      </c>
    </row>
    <row r="164">
      <c r="A164" t="inlineStr">
        <is>
          <t>Execution Review Criteria</t>
        </is>
      </c>
      <c r="B164" t="inlineStr">
        <is>
          <t>My exit versus ZM's measured in Avg Return.</t>
        </is>
      </c>
    </row>
    <row r="165">
      <c r="A165" t="inlineStr">
        <is>
          <t>Backtesting</t>
        </is>
      </c>
      <c r="B165" t="inlineStr">
        <is>
          <t>NA</t>
        </is>
      </c>
    </row>
    <row r="166">
      <c r="A166" t="inlineStr">
        <is>
          <t>Retrospective Period</t>
        </is>
      </c>
      <c r="B166" t="inlineStr">
        <is>
          <t>EOD</t>
        </is>
      </c>
    </row>
    <row r="167">
      <c r="A167" t="inlineStr">
        <is>
          <t>Exit Feeling Record</t>
        </is>
      </c>
      <c r="B167" t="inlineStr">
        <is>
          <t>Yes</t>
        </is>
      </c>
    </row>
    <row r="168">
      <c r="A168" t="inlineStr">
        <is>
          <t>Current Version</t>
        </is>
      </c>
      <c r="B168" t="n">
        <v>0.1</v>
      </c>
    </row>
    <row r="169">
      <c r="A169" t="inlineStr">
        <is>
          <t>Scoring KPI of Strategy</t>
        </is>
      </c>
      <c r="B169" t="inlineStr">
        <is>
          <t>Profit Factor</t>
        </is>
      </c>
      <c r="C169" t="inlineStr">
        <is>
          <t>Avg Return</t>
        </is>
      </c>
      <c r="D169" s="16" t="inlineStr">
        <is>
          <t>Best Exit</t>
        </is>
      </c>
    </row>
    <row r="170">
      <c r="A170" t="inlineStr">
        <is>
          <t>Tagging System</t>
        </is>
      </c>
      <c r="B170" t="inlineStr">
        <is>
          <t>ZM</t>
        </is>
      </c>
      <c r="C170" t="inlineStr">
        <is>
          <t>Confirmation</t>
        </is>
      </c>
      <c r="D170" t="inlineStr">
        <is>
          <t>Execution</t>
        </is>
      </c>
      <c r="E170" t="inlineStr">
        <is>
          <t>ZM SPY</t>
        </is>
      </c>
    </row>
    <row r="171">
      <c r="A171" t="inlineStr">
        <is>
          <t>TODO</t>
        </is>
      </c>
    </row>
  </sheetData>
  <pageMargins left="0.7" right="0.7" top="0.75" bottom="0.75" header="0.3" footer="0.3"/>
</worksheet>
</file>

<file path=xl/worksheets/sheet11.xml><?xml version="1.0" encoding="utf-8"?>
<worksheet xmlns="http://schemas.openxmlformats.org/spreadsheetml/2006/main">
  <sheetPr codeName="Sheet10">
    <tabColor rgb="FF00B0F0"/>
    <outlinePr summaryBelow="1" summaryRight="1"/>
    <pageSetUpPr/>
  </sheetPr>
  <dimension ref="A4:F58"/>
  <sheetViews>
    <sheetView topLeftCell="A22" workbookViewId="0">
      <selection activeCell="B57" sqref="B57"/>
    </sheetView>
  </sheetViews>
  <sheetFormatPr baseColWidth="8" defaultRowHeight="14.5"/>
  <cols>
    <col width="19.7265625" customWidth="1" min="1" max="1"/>
  </cols>
  <sheetData>
    <row r="4">
      <c r="A4" s="1" t="inlineStr">
        <is>
          <t>Color Coding</t>
        </is>
      </c>
    </row>
    <row r="5">
      <c r="A5" t="inlineStr">
        <is>
          <t>Blue: Blue designates inputs. These can be historical accounting data, growth assumptions, or any other data you enter to create your projections.</t>
        </is>
      </c>
    </row>
    <row r="6">
      <c r="A6" t="inlineStr">
        <is>
          <t>Black: Black designates calculations. When calculations refer only to data in the current sheet, they are always black. If calculations refer to data in another sheet, they can be black or green.</t>
        </is>
      </c>
    </row>
    <row r="7">
      <c r="A7" t="inlineStr">
        <is>
          <t>Green: Green designates calculations that include references to another sheet.</t>
        </is>
      </c>
    </row>
    <row r="8">
      <c r="A8" t="inlineStr">
        <is>
          <t>Red: Red can designate references to external data which is stored outside the model. Red can also indicate negative numbers.</t>
        </is>
      </c>
    </row>
    <row r="9">
      <c r="A9" t="inlineStr">
        <is>
          <t>Green tabs: Data feeder tabs.</t>
        </is>
      </c>
    </row>
    <row r="10">
      <c r="A10" t="inlineStr">
        <is>
          <t>Blue tabs: Ancilliary information.</t>
        </is>
      </c>
    </row>
    <row r="12">
      <c r="A12" s="1" t="inlineStr">
        <is>
          <t>Stock Journal</t>
        </is>
      </c>
    </row>
    <row r="13">
      <c r="A13" t="inlineStr">
        <is>
          <t>Date</t>
        </is>
      </c>
      <c r="B13" t="inlineStr">
        <is>
          <t>Date in which commentary was recorded.</t>
        </is>
      </c>
    </row>
    <row r="14">
      <c r="A14" t="inlineStr">
        <is>
          <t>Ticker</t>
        </is>
      </c>
      <c r="B14" t="inlineStr">
        <is>
          <t>Stock ticker.</t>
        </is>
      </c>
    </row>
    <row r="15">
      <c r="A15" t="inlineStr">
        <is>
          <t>Direction</t>
        </is>
      </c>
      <c r="B15" t="inlineStr">
        <is>
          <t>Direction of the stock based off D chart direction indicator.</t>
        </is>
      </c>
    </row>
    <row r="16">
      <c r="A16" t="inlineStr">
        <is>
          <t>Sentiment</t>
        </is>
      </c>
      <c r="B16" t="inlineStr">
        <is>
          <t>Overall personal direction sentiment of the stock.</t>
        </is>
      </c>
    </row>
    <row r="17">
      <c r="A17" t="inlineStr">
        <is>
          <t>Sentiment Type</t>
        </is>
      </c>
      <c r="B17" t="inlineStr">
        <is>
          <t>Is the sentiment based on technical analysis or on fundamentals.</t>
        </is>
      </c>
    </row>
    <row r="18">
      <c r="A18" t="inlineStr">
        <is>
          <t>30 day Retro</t>
        </is>
      </c>
      <c r="B18" t="inlineStr">
        <is>
          <t>30 day retrospective on the analysis. Win = would have made money trading my sentiment. Lose = opposite. Mixed = there was money inside the 14D period. NA does not apply to fundamental Sentiment Type.</t>
        </is>
      </c>
    </row>
    <row r="19">
      <c r="A19" t="inlineStr">
        <is>
          <t>Governing Patterns</t>
        </is>
      </c>
      <c r="B19" t="inlineStr">
        <is>
          <t>Which technical pattern is currently governing the stock. Keep it wo W, D and H charts.</t>
        </is>
      </c>
    </row>
    <row r="20">
      <c r="A20" t="inlineStr">
        <is>
          <t>Key Support Level</t>
        </is>
      </c>
      <c r="B20" t="inlineStr">
        <is>
          <t>Current Daily support level.</t>
        </is>
      </c>
    </row>
    <row r="21">
      <c r="A21" t="inlineStr">
        <is>
          <t>Key Resistance Level</t>
        </is>
      </c>
      <c r="B21" t="inlineStr">
        <is>
          <t>Current Daily resistance level.</t>
        </is>
      </c>
    </row>
    <row r="22">
      <c r="A22" t="inlineStr">
        <is>
          <t>Commentary</t>
        </is>
      </c>
      <c r="B22" t="inlineStr">
        <is>
          <t>Stock commentary for the analysis.</t>
        </is>
      </c>
    </row>
    <row r="23">
      <c r="A23" t="inlineStr">
        <is>
          <t>Weekly One Pager</t>
        </is>
      </c>
      <c r="B23" t="inlineStr">
        <is>
          <t>If yes, the information should be added to the weekly one pager.</t>
        </is>
      </c>
    </row>
    <row r="24">
      <c r="A24" t="inlineStr">
        <is>
          <t>Followup</t>
        </is>
      </c>
      <c r="B24" t="inlineStr">
        <is>
          <t>Flag that determines if this entry is followup of an open trade.</t>
        </is>
      </c>
    </row>
    <row r="26">
      <c r="A26" s="1" t="inlineStr">
        <is>
          <t>Ideas</t>
        </is>
      </c>
    </row>
    <row r="27">
      <c r="A27" t="inlineStr">
        <is>
          <t>Ticker</t>
        </is>
      </c>
      <c r="B27" t="inlineStr">
        <is>
          <t>Stock ticker.</t>
        </is>
      </c>
    </row>
    <row r="28">
      <c r="A28" t="inlineStr">
        <is>
          <t>Date</t>
        </is>
      </c>
      <c r="B28" t="inlineStr">
        <is>
          <t>Date in which commentary was recorded.</t>
        </is>
      </c>
    </row>
    <row r="29">
      <c r="A29" t="inlineStr">
        <is>
          <t>Current Price</t>
        </is>
      </c>
      <c r="B29" t="inlineStr">
        <is>
          <t>Current stock price</t>
        </is>
      </c>
    </row>
    <row r="30">
      <c r="A30" t="inlineStr">
        <is>
          <t>Target Entry</t>
        </is>
      </c>
      <c r="B30" t="inlineStr">
        <is>
          <t>Expected trade entry price</t>
        </is>
      </c>
    </row>
    <row r="31">
      <c r="A31" t="inlineStr">
        <is>
          <t>Target Price</t>
        </is>
      </c>
      <c r="B31" t="inlineStr">
        <is>
          <t>Expected target exit price</t>
        </is>
      </c>
    </row>
    <row r="32">
      <c r="A32" t="inlineStr">
        <is>
          <t>Stop</t>
        </is>
      </c>
      <c r="B32" t="inlineStr">
        <is>
          <t>Expected stop loss</t>
        </is>
      </c>
    </row>
    <row r="33">
      <c r="A33" t="inlineStr">
        <is>
          <t>RR Ratio</t>
        </is>
      </c>
      <c r="B33" t="inlineStr">
        <is>
          <t>Risk reward ratio for the trade</t>
        </is>
      </c>
    </row>
    <row r="34">
      <c r="A34" t="inlineStr">
        <is>
          <t>Trade Direction</t>
        </is>
      </c>
      <c r="B34" t="inlineStr">
        <is>
          <t>Long or Short</t>
        </is>
      </c>
    </row>
    <row r="35">
      <c r="A35" t="inlineStr">
        <is>
          <t>Strategy</t>
        </is>
      </c>
      <c r="B35" t="inlineStr">
        <is>
          <t>Name of the setup or strategy</t>
        </is>
      </c>
    </row>
    <row r="36">
      <c r="A36" t="inlineStr">
        <is>
          <t>Market</t>
        </is>
      </c>
      <c r="B36" t="inlineStr">
        <is>
          <t>Value of RSI Trend indicator in the Strategy's relevant timeframe</t>
        </is>
      </c>
    </row>
    <row r="37">
      <c r="A37" t="inlineStr">
        <is>
          <t>Relative</t>
        </is>
      </c>
      <c r="B37" t="inlineStr">
        <is>
          <t>Value of relativenes in the strategy's relevant timeframe</t>
        </is>
      </c>
    </row>
    <row r="38">
      <c r="A38" t="inlineStr">
        <is>
          <t>1hr Trend</t>
        </is>
      </c>
      <c r="B38" t="inlineStr">
        <is>
          <t>Value of RSI Trend indicator in the hourly chart</t>
        </is>
      </c>
    </row>
    <row r="39">
      <c r="A39" t="inlineStr">
        <is>
          <t>1hr Cloud</t>
        </is>
      </c>
      <c r="B39" t="inlineStr">
        <is>
          <t>Above or below the 34-50 1 hour cloud</t>
        </is>
      </c>
    </row>
    <row r="40">
      <c r="A40" t="inlineStr">
        <is>
          <t>Intended Position</t>
        </is>
      </c>
      <c r="B40" t="inlineStr">
        <is>
          <t>Intended stock quantity for this idea</t>
        </is>
      </c>
    </row>
    <row r="41">
      <c r="A41" t="inlineStr">
        <is>
          <t>To win Money</t>
        </is>
      </c>
      <c r="B41" t="inlineStr">
        <is>
          <t>Calculated to win money</t>
        </is>
      </c>
    </row>
    <row r="42">
      <c r="A42" t="inlineStr">
        <is>
          <t>Money Risk</t>
        </is>
      </c>
      <c r="B42" t="inlineStr">
        <is>
          <t>Calculated money at risk of losing</t>
        </is>
      </c>
    </row>
    <row r="43">
      <c r="A43" t="inlineStr">
        <is>
          <t>Notes</t>
        </is>
      </c>
      <c r="B43" t="inlineStr">
        <is>
          <t>Open notes</t>
        </is>
      </c>
    </row>
    <row r="44">
      <c r="A44" t="inlineStr">
        <is>
          <t>Sourced</t>
        </is>
      </c>
      <c r="B44" t="inlineStr">
        <is>
          <t>Watchlist</t>
        </is>
      </c>
      <c r="C44" t="inlineStr">
        <is>
          <t>MACD Scanner</t>
        </is>
      </c>
      <c r="D44" t="inlineStr">
        <is>
          <t>VTR Scanner</t>
        </is>
      </c>
      <c r="E44" t="inlineStr">
        <is>
          <t>Relative Daily scanner</t>
        </is>
      </c>
      <c r="F44" t="inlineStr">
        <is>
          <t>BTD Scanner</t>
        </is>
      </c>
    </row>
    <row r="45">
      <c r="A45" t="inlineStr">
        <is>
          <t>Quality</t>
        </is>
      </c>
      <c r="B45" t="inlineStr">
        <is>
          <t>Quality as defined in the strategy data</t>
        </is>
      </c>
    </row>
    <row r="46">
      <c r="A46" s="16" t="inlineStr">
        <is>
          <t>Filter</t>
        </is>
      </c>
      <c r="B46" t="inlineStr">
        <is>
          <t>Open</t>
        </is>
      </c>
      <c r="C46" t="inlineStr">
        <is>
          <t>Taken</t>
        </is>
      </c>
      <c r="D46" t="inlineStr">
        <is>
          <t>Expired</t>
        </is>
      </c>
    </row>
    <row r="47">
      <c r="A47" t="inlineStr">
        <is>
          <t>Trade ID</t>
        </is>
      </c>
      <c r="B47" t="inlineStr">
        <is>
          <t>Trade ID for cross sheet lookup purposes</t>
        </is>
      </c>
    </row>
    <row r="49">
      <c r="A49" s="1" t="inlineStr">
        <is>
          <t>Retro</t>
        </is>
      </c>
    </row>
    <row r="50">
      <c r="A50" t="inlineStr">
        <is>
          <t>KPI #1</t>
        </is>
      </c>
      <c r="B50" t="inlineStr">
        <is>
          <t>Passed: overperformed as described in Execution Review Criteria.</t>
        </is>
      </c>
      <c r="C50" t="inlineStr">
        <is>
          <t>Not Passed: underperformed Execution Review Criteria.</t>
        </is>
      </c>
    </row>
    <row r="51">
      <c r="A51" t="inlineStr">
        <is>
          <t>KPI #2</t>
        </is>
      </c>
      <c r="B51" t="inlineStr">
        <is>
          <t>Best Exit</t>
        </is>
      </c>
    </row>
    <row r="52">
      <c r="A52" t="inlineStr">
        <is>
          <t>KPI #3</t>
        </is>
      </c>
      <c r="B52" t="inlineStr">
        <is>
          <t>Return</t>
        </is>
      </c>
    </row>
    <row r="54">
      <c r="A54" s="1" t="inlineStr">
        <is>
          <t>Trade Log</t>
        </is>
      </c>
    </row>
    <row r="55">
      <c r="A55" t="inlineStr">
        <is>
          <t>Trade ID</t>
        </is>
      </c>
      <c r="B55" t="inlineStr">
        <is>
          <t>Unique ID for the trade.</t>
        </is>
      </c>
    </row>
    <row r="56">
      <c r="A56" s="16" t="inlineStr">
        <is>
          <t>Sourced</t>
        </is>
      </c>
      <c r="B56" t="inlineStr">
        <is>
          <t>Watchlist</t>
        </is>
      </c>
      <c r="C56" t="inlineStr">
        <is>
          <t>MACD Scanner</t>
        </is>
      </c>
      <c r="D56" t="inlineStr">
        <is>
          <t>VTR Scanner</t>
        </is>
      </c>
      <c r="E56" t="inlineStr">
        <is>
          <t>Relative Daily scanner</t>
        </is>
      </c>
      <c r="F56" t="inlineStr">
        <is>
          <t>BTD Scanner</t>
        </is>
      </c>
    </row>
    <row r="57">
      <c r="A57" t="inlineStr">
        <is>
          <t>MAE</t>
        </is>
      </c>
      <c r="B57" t="inlineStr">
        <is>
          <t>Defines the maximum possible losses that could have taken place during the trade.</t>
        </is>
      </c>
    </row>
    <row r="58">
      <c r="A58" t="inlineStr">
        <is>
          <t>MFE</t>
        </is>
      </c>
      <c r="B58" t="inlineStr">
        <is>
          <t>Defines the maximum possible profits that could have taken place during the trade.</t>
        </is>
      </c>
    </row>
  </sheetData>
  <pageMargins left="0.7" right="0.7" top="0.75" bottom="0.75" header="0.3" footer="0.3"/>
  <pageSetup orientation="portrait" paperSize="9"/>
</worksheet>
</file>

<file path=xl/worksheets/sheet12.xml><?xml version="1.0" encoding="utf-8"?>
<worksheet xmlns="http://schemas.openxmlformats.org/spreadsheetml/2006/main">
  <sheetPr codeName="Sheet11">
    <tabColor rgb="FF00B0F0"/>
    <outlinePr summaryBelow="1" summaryRight="1"/>
    <pageSetUpPr/>
  </sheetPr>
  <dimension ref="A1:A25"/>
  <sheetViews>
    <sheetView workbookViewId="0">
      <selection activeCell="B12" sqref="B12"/>
    </sheetView>
  </sheetViews>
  <sheetFormatPr baseColWidth="8" defaultRowHeight="14.5"/>
  <sheetData>
    <row r="1">
      <c r="A1" s="1" t="inlineStr">
        <is>
          <t>Basecamp sheet</t>
        </is>
      </c>
    </row>
    <row r="2">
      <c r="A2" s="1" t="inlineStr">
        <is>
          <t>A sheet that when I open this file tells me what needs to be done.</t>
        </is>
      </c>
    </row>
    <row r="4">
      <c r="A4" s="1" t="inlineStr">
        <is>
          <t>Restrospective</t>
        </is>
      </c>
    </row>
    <row r="6">
      <c r="A6" t="inlineStr">
        <is>
          <t>Needs to pull all order information just by matching Order ID</t>
        </is>
      </c>
    </row>
    <row r="7">
      <c r="A7" t="inlineStr">
        <is>
          <t>Start by sourcing from the Trade Log</t>
        </is>
      </c>
    </row>
    <row r="8">
      <c r="A8" t="inlineStr">
        <is>
          <t>Look for Retro needs in the setup and develop this sheet</t>
        </is>
      </c>
    </row>
    <row r="9">
      <c r="A9" t="inlineStr">
        <is>
          <t>KPI 1 and 2 need to pulate from the setup selection</t>
        </is>
      </c>
    </row>
    <row r="11">
      <c r="A11" s="1" t="inlineStr">
        <is>
          <t>Weekly One Pager</t>
        </is>
      </c>
    </row>
    <row r="12">
      <c r="A12" t="inlineStr">
        <is>
          <t>Make it based on Ripster's and your OneNotes</t>
        </is>
      </c>
    </row>
    <row r="14">
      <c r="A14" s="1" t="inlineStr">
        <is>
          <t>Ideas</t>
        </is>
      </c>
    </row>
    <row r="15">
      <c r="A15" t="inlineStr">
        <is>
          <t>Done</t>
        </is>
      </c>
    </row>
    <row r="16">
      <c r="A16" s="1" t="inlineStr">
        <is>
          <t>Stock Journal</t>
        </is>
      </c>
    </row>
    <row r="17">
      <c r="A17" t="inlineStr">
        <is>
          <t>Done</t>
        </is>
      </c>
    </row>
    <row r="18">
      <c r="A18" s="1" t="inlineStr">
        <is>
          <t>Trade Log</t>
        </is>
      </c>
    </row>
    <row r="19">
      <c r="A19" t="inlineStr">
        <is>
          <t>Done</t>
        </is>
      </c>
    </row>
    <row r="21">
      <c r="A21" s="1" t="inlineStr">
        <is>
          <t>Define the daily process and add to MS ToDo</t>
        </is>
      </c>
    </row>
    <row r="23">
      <c r="A23" t="inlineStr">
        <is>
          <t>Define what Retro BI should look like</t>
        </is>
      </c>
    </row>
    <row r="24">
      <c r="A24" t="inlineStr">
        <is>
          <t>In Python, each trade can be a dictionary.</t>
        </is>
      </c>
    </row>
    <row r="25">
      <c r="A25" t="inlineStr">
        <is>
          <t>Make a Trade Class perhaps</t>
        </is>
      </c>
    </row>
  </sheetData>
  <pageMargins left="0.7" right="0.7" top="0.75" bottom="0.75" header="0.3" footer="0.3"/>
</worksheet>
</file>

<file path=xl/worksheets/sheet13.xml><?xml version="1.0" encoding="utf-8"?>
<worksheet xmlns="http://schemas.openxmlformats.org/spreadsheetml/2006/main">
  <sheetPr>
    <tabColor rgb="FF00B0F0"/>
    <outlinePr summaryBelow="1" summaryRight="1"/>
    <pageSetUpPr/>
  </sheetPr>
  <dimension ref="A1:A24"/>
  <sheetViews>
    <sheetView workbookViewId="0">
      <selection activeCell="A11" sqref="A11"/>
    </sheetView>
  </sheetViews>
  <sheetFormatPr baseColWidth="8" defaultRowHeight="14.5"/>
  <sheetData>
    <row r="1">
      <c r="A1" s="1" t="inlineStr">
        <is>
          <t>On Sundays</t>
        </is>
      </c>
    </row>
    <row r="2">
      <c r="A2" t="inlineStr">
        <is>
          <t>Clear the Weekly One Pager.</t>
        </is>
      </c>
    </row>
    <row r="3">
      <c r="A3" t="inlineStr">
        <is>
          <t>Do your weekly market analysis and add them to the Journal.</t>
        </is>
      </c>
    </row>
    <row r="4">
      <c r="A4" t="inlineStr">
        <is>
          <t>If the entry is marked as Yes to one pager, pass the the information to Weekly One Pager sheet.</t>
        </is>
      </c>
    </row>
    <row r="5">
      <c r="A5" t="inlineStr">
        <is>
          <t>Copy the Weekly One Pager entries to the OneNote.</t>
        </is>
      </c>
    </row>
    <row r="6">
      <c r="A6" t="inlineStr">
        <is>
          <t>Arrange the Weekly One Pager by Market comments, Stock comments, Followup comments.</t>
        </is>
      </c>
    </row>
    <row r="8">
      <c r="A8" s="1" t="inlineStr">
        <is>
          <t>Daily:</t>
        </is>
      </c>
    </row>
    <row r="9">
      <c r="A9" t="inlineStr">
        <is>
          <t>Paste the TraderSync daily export on TraderSync Export sheet.</t>
        </is>
      </c>
    </row>
    <row r="10">
      <c r="A10" t="inlineStr">
        <is>
          <t>If Status not OPEN, Populate the respective Trade Log sheet data points.</t>
        </is>
      </c>
    </row>
    <row r="11">
      <c r="A11" t="inlineStr">
        <is>
          <t xml:space="preserve">Assign a unique TradeID to each trade. </t>
        </is>
      </c>
    </row>
    <row r="12">
      <c r="A12" t="inlineStr">
        <is>
          <t>If a trade came from an Idea, bring the Trade ID to the Ideas sheet.</t>
        </is>
      </c>
    </row>
    <row r="13">
      <c r="A13" t="inlineStr">
        <is>
          <t>Automatically populate the Retro sheet data from the Trade Log sheet via TradeID.</t>
        </is>
      </c>
    </row>
    <row r="14">
      <c r="A14" t="inlineStr">
        <is>
          <t>Recognize Strategy from Setup.</t>
        </is>
      </c>
    </row>
    <row r="15">
      <c r="A15" t="inlineStr">
        <is>
          <t>Recognize Source from Setup.</t>
        </is>
      </c>
    </row>
    <row r="16">
      <c r="A16" t="inlineStr">
        <is>
          <t>Recognize Quality from Setup.</t>
        </is>
      </c>
    </row>
    <row r="17">
      <c r="A17" t="inlineStr">
        <is>
          <t>Recognize Exit Feeling from Mistake.</t>
        </is>
      </c>
    </row>
    <row r="18">
      <c r="A18" t="inlineStr">
        <is>
          <t>Recognize Retrospective requirement from Setup_Data, add to trade date.</t>
        </is>
      </c>
    </row>
    <row r="19">
      <c r="A19" t="inlineStr">
        <is>
          <t>Populate KPI2 and 3 data from the TradeLog</t>
        </is>
      </c>
    </row>
    <row r="21">
      <c r="A21" s="1" t="inlineStr">
        <is>
          <t>Reminders:</t>
        </is>
      </c>
    </row>
    <row r="22">
      <c r="A22" t="inlineStr">
        <is>
          <t>Journal: 30D retro needs to be performed to determine if I was right or not. Probably can be automated based on Price.</t>
        </is>
      </c>
    </row>
    <row r="23">
      <c r="A23" t="inlineStr">
        <is>
          <t>Retro: Add due Retros</t>
        </is>
      </c>
    </row>
    <row r="24">
      <c r="A24" t="inlineStr">
        <is>
          <t>Ideas: Taken ideas are missing a TradeID</t>
        </is>
      </c>
    </row>
  </sheetData>
  <pageMargins left="0.7" right="0.7" top="0.75" bottom="0.75" header="0.3" footer="0.3"/>
</worksheet>
</file>

<file path=xl/worksheets/sheet14.xml><?xml version="1.0" encoding="utf-8"?>
<worksheet xmlns="http://schemas.openxmlformats.org/spreadsheetml/2006/main">
  <sheetPr codeName="Sheet12">
    <tabColor rgb="FF00B0F0"/>
    <outlinePr summaryBelow="1" summaryRight="1"/>
    <pageSetUpPr/>
  </sheetPr>
  <dimension ref="A1:A18"/>
  <sheetViews>
    <sheetView workbookViewId="0">
      <selection activeCell="C21" sqref="C21"/>
    </sheetView>
  </sheetViews>
  <sheetFormatPr baseColWidth="8" defaultRowHeight="14.5"/>
  <sheetData>
    <row r="1">
      <c r="A1" s="1" t="inlineStr">
        <is>
          <t>Document Scope</t>
        </is>
      </c>
    </row>
    <row r="2">
      <c r="A2" t="inlineStr">
        <is>
          <t>This document's purpose is to keep track of the trades and analysis carried on a weekly basis.</t>
        </is>
      </c>
    </row>
    <row r="3">
      <c r="A3" t="inlineStr">
        <is>
          <t>This document will record the weekly market one page summaries so we can record an evolution of these analyses. The current one pager is shown as quick notes in OneNote.</t>
        </is>
      </c>
    </row>
    <row r="4">
      <c r="A4" t="inlineStr">
        <is>
          <t>We will also record trade ideas and define high level data of the trade.</t>
        </is>
      </c>
    </row>
    <row r="5">
      <c r="A5" t="inlineStr">
        <is>
          <t>Additionally, we will execute the retrospective for all trades and record the data in this sheet.</t>
        </is>
      </c>
    </row>
    <row r="6">
      <c r="A6" t="inlineStr">
        <is>
          <t>Lastly, keep a journal of stock analysis ideas that are to be kept through time.</t>
        </is>
      </c>
    </row>
    <row r="7">
      <c r="A7" s="1" t="inlineStr">
        <is>
          <t>To Dos</t>
        </is>
      </c>
    </row>
    <row r="8">
      <c r="A8" t="inlineStr">
        <is>
          <t>A summary of all pending tasks open in the Journal.</t>
        </is>
      </c>
    </row>
    <row r="9">
      <c r="A9" s="1" t="inlineStr">
        <is>
          <t>Ideas</t>
        </is>
      </c>
    </row>
    <row r="10">
      <c r="A10" t="inlineStr">
        <is>
          <t>A dashboard with all the sourced ideas. The one I have is sufficient, but need to add a column for strategy.</t>
        </is>
      </c>
    </row>
    <row r="11">
      <c r="A11" s="1" t="inlineStr">
        <is>
          <t>Retrospective</t>
        </is>
      </c>
    </row>
    <row r="12">
      <c r="A12" t="inlineStr">
        <is>
          <t>Same as the ideas dashboard, but just for the taken trades. This is where Kaizen will be written. It needs to automatically hide past trades so that it's not clumsy.</t>
        </is>
      </c>
    </row>
    <row r="13">
      <c r="A13" s="1" t="inlineStr">
        <is>
          <t>One Pager</t>
        </is>
      </c>
    </row>
    <row r="14">
      <c r="A14" t="inlineStr">
        <is>
          <t>Shows the expected market trend for the week and day. Shows most attractive stocks to trade today and a quick why, as well as key levels to watch.</t>
        </is>
      </c>
    </row>
    <row r="15">
      <c r="A15" s="1" t="inlineStr">
        <is>
          <t>Stock Journal</t>
        </is>
      </c>
    </row>
    <row r="16">
      <c r="A16" t="inlineStr">
        <is>
          <t>A journal where I can put a stock information accross time. What pattern is governing, how it's behaving, important levels, etc. A collection of all my notes every time I've analyzed the stock.</t>
        </is>
      </c>
    </row>
    <row r="17">
      <c r="A17" s="1" t="inlineStr">
        <is>
          <t>Trade Log</t>
        </is>
      </c>
    </row>
    <row r="18">
      <c r="A18" t="inlineStr">
        <is>
          <t>This log will keep track of all the trades we carry, including entry price, exit, tags and strategies which will be used for retrospectives. Based off Tradersyncs Export. Only fully executed trades will be included.</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Juan Talavera</dc:creator>
  <dcterms:created xmlns:dcterms="http://purl.org/dc/terms/" xmlns:xsi="http://www.w3.org/2001/XMLSchema-instance" xsi:type="dcterms:W3CDTF">2015-06-05T18:17:20Z</dcterms:created>
  <dcterms:modified xmlns:dcterms="http://purl.org/dc/terms/" xmlns:xsi="http://www.w3.org/2001/XMLSchema-instance" xsi:type="dcterms:W3CDTF">2024-05-20T14:19:13Z</dcterms:modified>
  <cp:lastModifiedBy>Juan Talavera</cp:lastModifiedBy>
</cp:coreProperties>
</file>