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mc:AlternateContent xmlns:mc="http://schemas.openxmlformats.org/markup-compatibility/2006">
    <mc:Choice Requires="x15">
      <x15ac:absPath xmlns:x15ac="http://schemas.microsoft.com/office/spreadsheetml/2010/11/ac" url="https://d.docs.live.net/261a4915364edc4c/Coding/Projects/Trading Journal/Output/"/>
    </mc:Choice>
  </mc:AlternateContent>
  <xr:revisionPtr revIDLastSave="0" documentId="11_85824ECE9A2FBAD3BB4CA087D524756652E55253" xr6:coauthVersionLast="47" xr6:coauthVersionMax="47" xr10:uidLastSave="{00000000-0000-0000-0000-000000000000}"/>
  <bookViews>
    <workbookView xWindow="-110" yWindow="-110" windowWidth="38620" windowHeight="21100" activeTab="4" xr2:uid="{00000000-000D-0000-FFFF-FFFF00000000}"/>
  </bookViews>
  <sheets>
    <sheet name="Improvements" sheetId="1" r:id="rId1"/>
    <sheet name="Weekly One Pager" sheetId="2" r:id="rId2"/>
    <sheet name="Journal" sheetId="3" r:id="rId3"/>
    <sheet name="Ideas" sheetId="4" r:id="rId4"/>
    <sheet name="Trade Log" sheetId="5" r:id="rId5"/>
    <sheet name="Retro" sheetId="6" r:id="rId6"/>
    <sheet name="Retro BI" sheetId="7" r:id="rId7"/>
    <sheet name="Data Tags" sheetId="8" r:id="rId8"/>
    <sheet name="TraderSync Export" sheetId="9" r:id="rId9"/>
    <sheet name="Setup_Data" sheetId="10" r:id="rId10"/>
    <sheet name="Definitions" sheetId="11" r:id="rId11"/>
    <sheet name="To Do" sheetId="12" r:id="rId12"/>
    <sheet name="Process" sheetId="13" r:id="rId13"/>
    <sheet name="Summary"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5" l="1"/>
  <c r="W4" i="5"/>
  <c r="W3" i="5"/>
  <c r="W2" i="5"/>
  <c r="P57" i="4"/>
  <c r="O57" i="4"/>
  <c r="G57" i="4"/>
  <c r="P56" i="4"/>
  <c r="O56" i="4"/>
  <c r="G56" i="4"/>
  <c r="P55" i="4"/>
  <c r="O55" i="4"/>
  <c r="G55" i="4"/>
  <c r="P54" i="4"/>
  <c r="O54" i="4"/>
  <c r="G54" i="4"/>
  <c r="P53" i="4"/>
  <c r="O53" i="4"/>
  <c r="G53" i="4"/>
  <c r="P52" i="4"/>
  <c r="O52" i="4"/>
  <c r="G52" i="4"/>
  <c r="P51" i="4"/>
  <c r="O51" i="4"/>
  <c r="G51" i="4"/>
  <c r="P50" i="4"/>
  <c r="O50" i="4"/>
  <c r="G50" i="4"/>
  <c r="P49" i="4"/>
  <c r="O49" i="4"/>
  <c r="G49" i="4"/>
  <c r="P48" i="4"/>
  <c r="O48" i="4"/>
  <c r="G48" i="4"/>
  <c r="P47" i="4"/>
  <c r="O47" i="4"/>
  <c r="G47" i="4"/>
  <c r="P46" i="4"/>
  <c r="O46" i="4"/>
  <c r="G46" i="4"/>
  <c r="P45" i="4"/>
  <c r="O45" i="4"/>
  <c r="G45" i="4"/>
  <c r="P44" i="4"/>
  <c r="O44" i="4"/>
  <c r="G44" i="4"/>
  <c r="P43" i="4"/>
  <c r="O43" i="4"/>
  <c r="G43" i="4"/>
  <c r="P42" i="4"/>
  <c r="O42" i="4"/>
  <c r="G42" i="4"/>
  <c r="P41" i="4"/>
  <c r="O41" i="4"/>
  <c r="G41" i="4"/>
  <c r="P40" i="4"/>
  <c r="O40" i="4"/>
  <c r="G40" i="4"/>
  <c r="P39" i="4"/>
  <c r="O39" i="4"/>
  <c r="G39" i="4"/>
  <c r="P38" i="4"/>
  <c r="O38" i="4"/>
  <c r="G38" i="4"/>
  <c r="P37" i="4"/>
  <c r="O37" i="4"/>
  <c r="G37" i="4"/>
  <c r="P36" i="4"/>
  <c r="O36" i="4"/>
  <c r="G36" i="4"/>
  <c r="P35" i="4"/>
  <c r="O35" i="4"/>
  <c r="G35" i="4"/>
  <c r="P34" i="4"/>
  <c r="O34" i="4"/>
  <c r="G34" i="4"/>
  <c r="P33" i="4"/>
  <c r="O33" i="4"/>
  <c r="G33" i="4"/>
  <c r="P32" i="4"/>
  <c r="O32" i="4"/>
  <c r="G32" i="4"/>
  <c r="P31" i="4"/>
  <c r="O31" i="4"/>
  <c r="G31" i="4"/>
  <c r="P30" i="4"/>
  <c r="O30" i="4"/>
  <c r="G30" i="4"/>
  <c r="P29" i="4"/>
  <c r="O29" i="4"/>
  <c r="G29" i="4"/>
  <c r="P28" i="4"/>
  <c r="O28" i="4"/>
  <c r="G28" i="4"/>
  <c r="P27" i="4"/>
  <c r="O27" i="4"/>
  <c r="G27" i="4"/>
  <c r="P26" i="4"/>
  <c r="O26" i="4"/>
  <c r="G26" i="4"/>
  <c r="P25" i="4"/>
  <c r="O25" i="4"/>
  <c r="G25" i="4"/>
  <c r="P24" i="4"/>
  <c r="O24" i="4"/>
  <c r="G24" i="4"/>
  <c r="P23" i="4"/>
  <c r="O23" i="4"/>
  <c r="G23" i="4"/>
  <c r="P22" i="4"/>
  <c r="O22" i="4"/>
  <c r="G22" i="4"/>
  <c r="P21" i="4"/>
  <c r="O21" i="4"/>
  <c r="G21" i="4"/>
  <c r="P20" i="4"/>
  <c r="O20" i="4"/>
  <c r="G20" i="4"/>
  <c r="P19" i="4"/>
  <c r="O19" i="4"/>
  <c r="G19" i="4"/>
  <c r="P18" i="4"/>
  <c r="O18" i="4"/>
  <c r="G18" i="4"/>
  <c r="P17" i="4"/>
  <c r="O17" i="4"/>
  <c r="G17" i="4"/>
  <c r="P16" i="4"/>
  <c r="O16" i="4"/>
  <c r="G16" i="4"/>
  <c r="P15" i="4"/>
  <c r="O15" i="4"/>
  <c r="G15" i="4"/>
  <c r="P14" i="4"/>
  <c r="O14" i="4"/>
  <c r="G14" i="4"/>
  <c r="P13" i="4"/>
  <c r="O13" i="4"/>
  <c r="G13" i="4"/>
  <c r="P12" i="4"/>
  <c r="O12" i="4"/>
  <c r="G12" i="4"/>
  <c r="P11" i="4"/>
  <c r="O11" i="4"/>
  <c r="G11" i="4"/>
  <c r="P10" i="4"/>
  <c r="O10" i="4"/>
  <c r="G10" i="4"/>
  <c r="P9" i="4"/>
  <c r="O9" i="4"/>
  <c r="G9" i="4"/>
  <c r="P8" i="4"/>
  <c r="O8" i="4"/>
  <c r="G8" i="4"/>
  <c r="P7" i="4"/>
  <c r="O7" i="4"/>
  <c r="G7" i="4"/>
  <c r="P6" i="4"/>
  <c r="O6" i="4"/>
  <c r="G6" i="4"/>
  <c r="P5" i="4"/>
  <c r="O5" i="4"/>
  <c r="G5" i="4"/>
  <c r="P4" i="4"/>
  <c r="O4" i="4"/>
  <c r="G4" i="4"/>
  <c r="P3" i="4"/>
  <c r="O3" i="4"/>
  <c r="G3" i="4"/>
  <c r="P2" i="4"/>
  <c r="O2" i="4"/>
  <c r="G2" i="4"/>
</calcChain>
</file>

<file path=xl/sharedStrings.xml><?xml version="1.0" encoding="utf-8"?>
<sst xmlns="http://schemas.openxmlformats.org/spreadsheetml/2006/main" count="1197" uniqueCount="464">
  <si>
    <t>Sheet</t>
  </si>
  <si>
    <t>Commentary</t>
  </si>
  <si>
    <t>Date</t>
  </si>
  <si>
    <t>Ticker</t>
  </si>
  <si>
    <t>Comments</t>
  </si>
  <si>
    <t>Key Support Level</t>
  </si>
  <si>
    <t>Key Resistance Level</t>
  </si>
  <si>
    <t>Game Plan</t>
  </si>
  <si>
    <t>XPO</t>
  </si>
  <si>
    <t>This is a test</t>
  </si>
  <si>
    <t>Incoming to a lot of MAs traffic that can rebound, and a bit of low wick.
We might have a small bounce.</t>
  </si>
  <si>
    <t>SPY</t>
  </si>
  <si>
    <t>GME</t>
  </si>
  <si>
    <t>ASTS</t>
  </si>
  <si>
    <t>AMC</t>
  </si>
  <si>
    <t>CONGLO</t>
  </si>
  <si>
    <t>Lore ipsum</t>
  </si>
  <si>
    <t>QQQ</t>
  </si>
  <si>
    <t>Lore ipsumsss</t>
  </si>
  <si>
    <t>IWM</t>
  </si>
  <si>
    <t>Lore ipsum xxx$$%</t>
  </si>
  <si>
    <t>CELH</t>
  </si>
  <si>
    <t>Lore ipsumsafsfds</t>
  </si>
  <si>
    <t>DKNG</t>
  </si>
  <si>
    <t>Lore ipsum ''"''</t>
  </si>
  <si>
    <t>AMZN</t>
  </si>
  <si>
    <t>Lore ipsum ,,"</t>
  </si>
  <si>
    <t>AAPL</t>
  </si>
  <si>
    <t>Current Price</t>
  </si>
  <si>
    <t>Direction</t>
  </si>
  <si>
    <t>Sentiment</t>
  </si>
  <si>
    <t>Sentiment Type</t>
  </si>
  <si>
    <t>Governing Pattern</t>
  </si>
  <si>
    <t>30D Retro</t>
  </si>
  <si>
    <t>Weekly One Pager</t>
  </si>
  <si>
    <t>Followup</t>
  </si>
  <si>
    <t>Bullish</t>
  </si>
  <si>
    <t>Fundamental</t>
  </si>
  <si>
    <t>Inverted Cup</t>
  </si>
  <si>
    <t>Bearish</t>
  </si>
  <si>
    <t>Yes</t>
  </si>
  <si>
    <t>Bearish Pennant</t>
  </si>
  <si>
    <t>Auto Algo Line Daily</t>
  </si>
  <si>
    <t>Technical</t>
  </si>
  <si>
    <t>Double Bottom</t>
  </si>
  <si>
    <t>Target Entry</t>
  </si>
  <si>
    <t>Target Price</t>
  </si>
  <si>
    <t>Stop</t>
  </si>
  <si>
    <t>RR Ratio</t>
  </si>
  <si>
    <t>Trade Direction</t>
  </si>
  <si>
    <t>Strategy</t>
  </si>
  <si>
    <t>Market</t>
  </si>
  <si>
    <t>Relative</t>
  </si>
  <si>
    <t>1hr Trend</t>
  </si>
  <si>
    <t>1hr Cloud</t>
  </si>
  <si>
    <t>Intended Position</t>
  </si>
  <si>
    <t>To win Money</t>
  </si>
  <si>
    <t>Money Risk</t>
  </si>
  <si>
    <t>Notes</t>
  </si>
  <si>
    <t>Sourced</t>
  </si>
  <si>
    <t>Quality</t>
  </si>
  <si>
    <t>Filter</t>
  </si>
  <si>
    <t>Trade ID</t>
  </si>
  <si>
    <t>Status</t>
  </si>
  <si>
    <t>Symbol</t>
  </si>
  <si>
    <t>Size</t>
  </si>
  <si>
    <t>Open Date</t>
  </si>
  <si>
    <t>Close Date</t>
  </si>
  <si>
    <t>Setup 1</t>
  </si>
  <si>
    <t>Setup 2</t>
  </si>
  <si>
    <t>Setup 3</t>
  </si>
  <si>
    <t>Setup 4</t>
  </si>
  <si>
    <t>Setup 5</t>
  </si>
  <si>
    <t>Setup 6</t>
  </si>
  <si>
    <t>Mistakes 1</t>
  </si>
  <si>
    <t>Mistakes 2</t>
  </si>
  <si>
    <t>Mistakes 3</t>
  </si>
  <si>
    <t>Mistakes 4</t>
  </si>
  <si>
    <t>Mistakes 5</t>
  </si>
  <si>
    <t>Avg Buy</t>
  </si>
  <si>
    <t>Avg Sell</t>
  </si>
  <si>
    <t>Net Return</t>
  </si>
  <si>
    <t>Type</t>
  </si>
  <si>
    <t>Net Return %</t>
  </si>
  <si>
    <t>MAE</t>
  </si>
  <si>
    <t>MFE</t>
  </si>
  <si>
    <t>Best Exit $</t>
  </si>
  <si>
    <t>Best Exit %</t>
  </si>
  <si>
    <t>WIN</t>
  </si>
  <si>
    <t>SPX</t>
  </si>
  <si>
    <t>Apr 19, 2024</t>
  </si>
  <si>
    <t>$5.80</t>
  </si>
  <si>
    <t>$6.00</t>
  </si>
  <si>
    <t>$17.64</t>
  </si>
  <si>
    <t>OPTION</t>
  </si>
  <si>
    <t>LOSS</t>
  </si>
  <si>
    <t>Apr 15, 2024</t>
  </si>
  <si>
    <t>$7.80</t>
  </si>
  <si>
    <t>$7.40</t>
  </si>
  <si>
    <t>-$42.36</t>
  </si>
  <si>
    <t>$6.30</t>
  </si>
  <si>
    <t>$6.60</t>
  </si>
  <si>
    <t>$27.64</t>
  </si>
  <si>
    <t>Feb 09, 2024</t>
  </si>
  <si>
    <t>$58.5999</t>
  </si>
  <si>
    <t>$78.01</t>
  </si>
  <si>
    <t>$485.25</t>
  </si>
  <si>
    <t>SHARE</t>
  </si>
  <si>
    <t>Entry Price</t>
  </si>
  <si>
    <t>Exit Price</t>
  </si>
  <si>
    <t>Exit Feeling</t>
  </si>
  <si>
    <t>Retro Due Date</t>
  </si>
  <si>
    <t>KPI #1</t>
  </si>
  <si>
    <t>KPI #2</t>
  </si>
  <si>
    <t>KPI #3</t>
  </si>
  <si>
    <t>Make formula that adds however many days to the Date column</t>
  </si>
  <si>
    <t>Total Trades</t>
  </si>
  <si>
    <t>Profit</t>
  </si>
  <si>
    <t>Losses</t>
  </si>
  <si>
    <t>Profit Factor</t>
  </si>
  <si>
    <t>Average Return</t>
  </si>
  <si>
    <t>Journal</t>
  </si>
  <si>
    <t>Direction/Sentiment</t>
  </si>
  <si>
    <t>HnS</t>
  </si>
  <si>
    <t>Cup</t>
  </si>
  <si>
    <t>Inverted HnS</t>
  </si>
  <si>
    <t>Bullish Pennant</t>
  </si>
  <si>
    <t>Double Top</t>
  </si>
  <si>
    <t>Triple Top</t>
  </si>
  <si>
    <t>Triple Bottom</t>
  </si>
  <si>
    <t>14D Retro</t>
  </si>
  <si>
    <t>Win</t>
  </si>
  <si>
    <t>Lose</t>
  </si>
  <si>
    <t>Mixed</t>
  </si>
  <si>
    <t>NA</t>
  </si>
  <si>
    <t>Ideas</t>
  </si>
  <si>
    <t>Watchlist</t>
  </si>
  <si>
    <t>MACD Scanner</t>
  </si>
  <si>
    <t>VTR Scanner</t>
  </si>
  <si>
    <t>Relative Daily scanner</t>
  </si>
  <si>
    <t>BTD Scanner</t>
  </si>
  <si>
    <t>Long</t>
  </si>
  <si>
    <t>Short</t>
  </si>
  <si>
    <t>Rich SPY Trading</t>
  </si>
  <si>
    <t>Cloud System Swings 1hr</t>
  </si>
  <si>
    <t>Cloud System Swings Daily</t>
  </si>
  <si>
    <t>Cloud System DT</t>
  </si>
  <si>
    <t>Cloud System DT Variant</t>
  </si>
  <si>
    <t>Strong Swings</t>
  </si>
  <si>
    <t>Strong Level Quick Trades</t>
  </si>
  <si>
    <t>Trend 10 min Trades</t>
  </si>
  <si>
    <t>Zack Morris SPY trades</t>
  </si>
  <si>
    <t>Rich Stock Swings</t>
  </si>
  <si>
    <t>Above</t>
  </si>
  <si>
    <t>Below</t>
  </si>
  <si>
    <t>LQ</t>
  </si>
  <si>
    <t>MQ</t>
  </si>
  <si>
    <t>HQ</t>
  </si>
  <si>
    <t>Open</t>
  </si>
  <si>
    <t>Taken</t>
  </si>
  <si>
    <t>Expired</t>
  </si>
  <si>
    <t>Trade Log</t>
  </si>
  <si>
    <t>Open Time</t>
  </si>
  <si>
    <t>Close Time</t>
  </si>
  <si>
    <t>Setups</t>
  </si>
  <si>
    <t>Mistakes</t>
  </si>
  <si>
    <t>Return $</t>
  </si>
  <si>
    <t>Return %</t>
  </si>
  <si>
    <t>Commision</t>
  </si>
  <si>
    <t>Expire</t>
  </si>
  <si>
    <t>Strike</t>
  </si>
  <si>
    <t>Side</t>
  </si>
  <si>
    <t>Targets</t>
  </si>
  <si>
    <t>Stops</t>
  </si>
  <si>
    <t>Spread</t>
  </si>
  <si>
    <t>Cost</t>
  </si>
  <si>
    <t>Executions</t>
  </si>
  <si>
    <t>Fees</t>
  </si>
  <si>
    <t>Swap</t>
  </si>
  <si>
    <t>Holdtime</t>
  </si>
  <si>
    <t>Last Order</t>
  </si>
  <si>
    <t>Portfolio</t>
  </si>
  <si>
    <t>Position</t>
  </si>
  <si>
    <t>Privacy</t>
  </si>
  <si>
    <t>Return Share</t>
  </si>
  <si>
    <t>Risk</t>
  </si>
  <si>
    <t>Expectancy</t>
  </si>
  <si>
    <t>R-Multiple</t>
  </si>
  <si>
    <t>Mar 01, 2024</t>
  </si>
  <si>
    <t>10:02:17</t>
  </si>
  <si>
    <t>15:27:20</t>
  </si>
  <si>
    <t>33.12%</t>
  </si>
  <si>
    <t>$0.00</t>
  </si>
  <si>
    <t>LONG</t>
  </si>
  <si>
    <t>SINGLE</t>
  </si>
  <si>
    <t>$1,465.00</t>
  </si>
  <si>
    <t>21d</t>
  </si>
  <si>
    <t>ROTH IRA</t>
  </si>
  <si>
    <t>Private</t>
  </si>
  <si>
    <t>$19.41</t>
  </si>
  <si>
    <t>OPEN</t>
  </si>
  <si>
    <t>TSLA</t>
  </si>
  <si>
    <t>Apr 01, 2024</t>
  </si>
  <si>
    <t>09:42:31</t>
  </si>
  <si>
    <t>$175.91</t>
  </si>
  <si>
    <t>$0.000000</t>
  </si>
  <si>
    <t>$1,583.19</t>
  </si>
  <si>
    <t>0 sec</t>
  </si>
  <si>
    <t>Chase Retirement</t>
  </si>
  <si>
    <t>10:03:23</t>
  </si>
  <si>
    <t>$170.19</t>
  </si>
  <si>
    <t>$1,021.14</t>
  </si>
  <si>
    <t>U</t>
  </si>
  <si>
    <t>Apr 09, 2024</t>
  </si>
  <si>
    <t>09:57:43</t>
  </si>
  <si>
    <t>09:58:02</t>
  </si>
  <si>
    <t>$26.55</t>
  </si>
  <si>
    <t>$26.54</t>
  </si>
  <si>
    <t>$1,990.50</t>
  </si>
  <si>
    <t>19 sec</t>
  </si>
  <si>
    <t>09:41:14</t>
  </si>
  <si>
    <t>09:41:35</t>
  </si>
  <si>
    <t>-$40.00</t>
  </si>
  <si>
    <t>-5.13%</t>
  </si>
  <si>
    <t>$1.30</t>
  </si>
  <si>
    <t>15 APR 24</t>
  </si>
  <si>
    <t>$5,180.00</t>
  </si>
  <si>
    <t>$780.00</t>
  </si>
  <si>
    <t>$1.06</t>
  </si>
  <si>
    <t>21 sec</t>
  </si>
  <si>
    <t>Day Trading</t>
  </si>
  <si>
    <t>09:53:29</t>
  </si>
  <si>
    <t>09:55:18</t>
  </si>
  <si>
    <t>Rich SPY, Waited</t>
  </si>
  <si>
    <t>$30.00</t>
  </si>
  <si>
    <t>4.76%</t>
  </si>
  <si>
    <t>$630.00</t>
  </si>
  <si>
    <t>01:49 min</t>
  </si>
  <si>
    <t>11:28:57</t>
  </si>
  <si>
    <t>11:33:36</t>
  </si>
  <si>
    <t>Rich SPY</t>
  </si>
  <si>
    <t>Fumbled</t>
  </si>
  <si>
    <t>$20.00</t>
  </si>
  <si>
    <t>3.45%</t>
  </si>
  <si>
    <t>19 APR 24</t>
  </si>
  <si>
    <t>$4,970.00</t>
  </si>
  <si>
    <t>$580.00</t>
  </si>
  <si>
    <t>04:39 min</t>
  </si>
  <si>
    <t>Apr 23, 2024</t>
  </si>
  <si>
    <t>16:24:32</t>
  </si>
  <si>
    <t>$71.95</t>
  </si>
  <si>
    <t>$935.35</t>
  </si>
  <si>
    <t>TCHI</t>
  </si>
  <si>
    <t>May 03, 2024</t>
  </si>
  <si>
    <t>10:13:22</t>
  </si>
  <si>
    <t>$17.6299</t>
  </si>
  <si>
    <t>$387.86</t>
  </si>
  <si>
    <t>Value #1</t>
  </si>
  <si>
    <t>Value #2</t>
  </si>
  <si>
    <t>Value #3</t>
  </si>
  <si>
    <t>Value #4</t>
  </si>
  <si>
    <t>Value #5</t>
  </si>
  <si>
    <t>Value #6</t>
  </si>
  <si>
    <t>Value #7</t>
  </si>
  <si>
    <t>Value #8</t>
  </si>
  <si>
    <t>Value #9</t>
  </si>
  <si>
    <t>Sourcing</t>
  </si>
  <si>
    <t>Relative Scanner</t>
  </si>
  <si>
    <t>Recording System</t>
  </si>
  <si>
    <t>TraderSync</t>
  </si>
  <si>
    <t>Enter Criteria</t>
  </si>
  <si>
    <t>Hourly chart.</t>
  </si>
  <si>
    <t>Enter when the candle close crosses the 34-50 cloud.</t>
  </si>
  <si>
    <t>Early Entry Criteria</t>
  </si>
  <si>
    <t>Enter as the candle is breaking the cloud.</t>
  </si>
  <si>
    <t>Exit Criteria</t>
  </si>
  <si>
    <t>Close breaks the 5-12 cloud.</t>
  </si>
  <si>
    <t>Confirmation Criteria</t>
  </si>
  <si>
    <t>Confirmation is defined as a close cross the cloud.</t>
  </si>
  <si>
    <t>Quality Considerations</t>
  </si>
  <si>
    <t>Confirmation</t>
  </si>
  <si>
    <t>SPY RSI H trend</t>
  </si>
  <si>
    <t>Favorable Relativeness</t>
  </si>
  <si>
    <t>RR</t>
  </si>
  <si>
    <t>Quality Criteria</t>
  </si>
  <si>
    <t>HQ= confirmation + 2</t>
  </si>
  <si>
    <t>MQ= confirmation + 1</t>
  </si>
  <si>
    <t>LQ= early + 1</t>
  </si>
  <si>
    <t>Kaizen</t>
  </si>
  <si>
    <t>Size of the trade will need to be improved</t>
  </si>
  <si>
    <t>Options versus stock will need definition</t>
  </si>
  <si>
    <t>Early entries worth it or not</t>
  </si>
  <si>
    <t>Come up with an RR value</t>
  </si>
  <si>
    <t>Correlation of confirmation bias</t>
  </si>
  <si>
    <t>Execution Review Criteria</t>
  </si>
  <si>
    <t xml:space="preserve">Exited as defined in the criteria or not. Max gain analysis. </t>
  </si>
  <si>
    <t>Backtesting</t>
  </si>
  <si>
    <t>Retrospective Period</t>
  </si>
  <si>
    <t>D+3</t>
  </si>
  <si>
    <t>Exit Feeling Record</t>
  </si>
  <si>
    <t>Current Version</t>
  </si>
  <si>
    <t>Scoring KPI of Strategy</t>
  </si>
  <si>
    <t>Profit factor</t>
  </si>
  <si>
    <t>Avrg Return</t>
  </si>
  <si>
    <t>Best Exit</t>
  </si>
  <si>
    <t>Tagging System</t>
  </si>
  <si>
    <t>CSH</t>
  </si>
  <si>
    <t>Relativeness</t>
  </si>
  <si>
    <t>Execution</t>
  </si>
  <si>
    <t>TODO</t>
  </si>
  <si>
    <t>Rich Discord</t>
  </si>
  <si>
    <t>Matching price to call</t>
  </si>
  <si>
    <t>Cheaper price than Rich</t>
  </si>
  <si>
    <t>30% profit</t>
  </si>
  <si>
    <t>Seeing Rich's call.</t>
  </si>
  <si>
    <t>Improving enter criteria (my view over Rich's)</t>
  </si>
  <si>
    <t>Improving exit criteria (profit margin, wait for Rich, $ amount or %)</t>
  </si>
  <si>
    <t>My exit versus Rich's measured in Avg Return.</t>
  </si>
  <si>
    <t>EOD</t>
  </si>
  <si>
    <t>Avg Return</t>
  </si>
  <si>
    <t>Daily chart.</t>
  </si>
  <si>
    <t>SPY RSI D trend</t>
  </si>
  <si>
    <t>Exited as defined in the criteria or not.</t>
  </si>
  <si>
    <t xml:space="preserve">Max gain analysis. </t>
  </si>
  <si>
    <t>CSD</t>
  </si>
  <si>
    <t>Momentum Scanner</t>
  </si>
  <si>
    <t>10m chart</t>
  </si>
  <si>
    <t>CSDT</t>
  </si>
  <si>
    <t>Enter when the 34-50 clouds crosses a pivot line.</t>
  </si>
  <si>
    <t>TBD</t>
  </si>
  <si>
    <t>Confirmation is defined as 34-50 cross of a pivot point.</t>
  </si>
  <si>
    <t>Determine which pivot points are best.</t>
  </si>
  <si>
    <t>Exited as defined in the criteria or not</t>
  </si>
  <si>
    <t>CSDTV</t>
  </si>
  <si>
    <t>Pivot Point</t>
  </si>
  <si>
    <t>Alerts</t>
  </si>
  <si>
    <t>D chart</t>
  </si>
  <si>
    <t>Enter when confirmation happens at a strong level</t>
  </si>
  <si>
    <t>Enter as soon as level is reached</t>
  </si>
  <si>
    <t>RR level is met</t>
  </si>
  <si>
    <t>Confirmation is defined as resolution of outcome after touching the line. Need to work more on this definition.</t>
  </si>
  <si>
    <t>Reversal vs Continuation analysis</t>
  </si>
  <si>
    <t>Optimization of taking profits along the way</t>
  </si>
  <si>
    <t>EOW</t>
  </si>
  <si>
    <t>SW</t>
  </si>
  <si>
    <t>Need backtesting to check what a confirmation has looked like in the past.</t>
  </si>
  <si>
    <t>10m Chart</t>
  </si>
  <si>
    <t>Enter when the first candle closes favorable (big wick, reversal close), join the reversal.</t>
  </si>
  <si>
    <t>Confirmation is defined as a candle closing below previous candle low</t>
  </si>
  <si>
    <t>Retested is defined as pivot point failed a second a time</t>
  </si>
  <si>
    <t>Retested</t>
  </si>
  <si>
    <t>Find if it's worth confirmation of a candle close</t>
  </si>
  <si>
    <t>Find which lines work best as pivot points</t>
  </si>
  <si>
    <t>Find relation with market trend as confirmation bias</t>
  </si>
  <si>
    <t>See if 5m chart works better</t>
  </si>
  <si>
    <t>Find if retested and a second fail can work as better confirmation</t>
  </si>
  <si>
    <t>SLQT</t>
  </si>
  <si>
    <t>Need backtesting to check what lines work better</t>
  </si>
  <si>
    <t>See if an RR can be defined by waiting for the first candle to close</t>
  </si>
  <si>
    <t>Enter when daily defined levels are broken or failed to be broken by candle close</t>
  </si>
  <si>
    <t>Enter as soon as something is happening at level (broken or failed)</t>
  </si>
  <si>
    <t>Profit level is met</t>
  </si>
  <si>
    <t>Confirmation is defined by a candle closing with the trend</t>
  </si>
  <si>
    <t>DT</t>
  </si>
  <si>
    <t>FU Club Discord</t>
  </si>
  <si>
    <t>Cheaper price than ZM</t>
  </si>
  <si>
    <t>Seeing ZM call</t>
  </si>
  <si>
    <t>My exit versus ZM's measured in Avg Return.</t>
  </si>
  <si>
    <t>ZM</t>
  </si>
  <si>
    <t>ZM SPY</t>
  </si>
  <si>
    <t>Color Coding</t>
  </si>
  <si>
    <t>Blue: Blue designates inputs. These can be historical accounting data, growth assumptions, or any other data you enter to create your projections.</t>
  </si>
  <si>
    <t>Black: Black designates calculations. When calculations refer only to data in the current sheet, they are always black. If calculations refer to data in another sheet, they can be black or green.</t>
  </si>
  <si>
    <t>Green: Green designates calculations that include references to another sheet.</t>
  </si>
  <si>
    <t>Red: Red can designate references to external data which is stored outside the model. Red can also indicate negative numbers.</t>
  </si>
  <si>
    <t>Green tabs: Data feeder tabs.</t>
  </si>
  <si>
    <t>Blue tabs: Ancilliary information.</t>
  </si>
  <si>
    <t>Stock Journal</t>
  </si>
  <si>
    <t>Date in which commentary was recorded.</t>
  </si>
  <si>
    <t>Stock ticker.</t>
  </si>
  <si>
    <t>Direction of the stock based off D chart direction indicator.</t>
  </si>
  <si>
    <t>Overall personal direction sentiment of the stock.</t>
  </si>
  <si>
    <t>Is the sentiment based on technical analysis or on fundamentals.</t>
  </si>
  <si>
    <t>30 day Retro</t>
  </si>
  <si>
    <t>30 day retrospective on the analysis. Win = would have made money trading my sentiment. Lose = opposite. Mixed = there was money inside the 14D period. NA does not apply to fundamental Sentiment Type.</t>
  </si>
  <si>
    <t>Governing Patterns</t>
  </si>
  <si>
    <t>Which technical pattern is currently governing the stock. Keep it wo W, D and H charts.</t>
  </si>
  <si>
    <t>Current Daily support level.</t>
  </si>
  <si>
    <t>Current Daily resistance level.</t>
  </si>
  <si>
    <t>Stock commentary for the analysis.</t>
  </si>
  <si>
    <t>If yes, the information should be added to the weekly one pager.</t>
  </si>
  <si>
    <t>Flag that determines if this entry is followup of an open trade.</t>
  </si>
  <si>
    <t>Current stock price</t>
  </si>
  <si>
    <t>Expected trade entry price</t>
  </si>
  <si>
    <t>Expected target exit price</t>
  </si>
  <si>
    <t>Expected stop loss</t>
  </si>
  <si>
    <t>Risk reward ratio for the trade</t>
  </si>
  <si>
    <t>Long or Short</t>
  </si>
  <si>
    <t>Name of the setup or strategy</t>
  </si>
  <si>
    <t>Value of RSI Trend indicator in the Strategy's relevant timeframe</t>
  </si>
  <si>
    <t>Value of relativenes in the strategy's relevant timeframe</t>
  </si>
  <si>
    <t>Value of RSI Trend indicator in the hourly chart</t>
  </si>
  <si>
    <t>Above or below the 34-50 1 hour cloud</t>
  </si>
  <si>
    <t>Intended stock quantity for this idea</t>
  </si>
  <si>
    <t>Calculated to win money</t>
  </si>
  <si>
    <t>Calculated money at risk of losing</t>
  </si>
  <si>
    <t>Open notes</t>
  </si>
  <si>
    <t>Quality as defined in the strategy data</t>
  </si>
  <si>
    <t>Trade ID for cross sheet lookup purposes</t>
  </si>
  <si>
    <t>Retro</t>
  </si>
  <si>
    <t>Passed: overperformed as described in Execution Review Criteria.</t>
  </si>
  <si>
    <t>Not Passed: underperformed Execution Review Criteria.</t>
  </si>
  <si>
    <t>Return</t>
  </si>
  <si>
    <t>Unique ID for the trade.</t>
  </si>
  <si>
    <t>Basecamp sheet</t>
  </si>
  <si>
    <t>A sheet that when I open this file tells me what needs to be done.</t>
  </si>
  <si>
    <t>Restrospective</t>
  </si>
  <si>
    <t>Needs to pull all order information just by matching Order ID</t>
  </si>
  <si>
    <t>Start by sourcing from the Trade Log</t>
  </si>
  <si>
    <t>Look for Retro needs in the setup and develop this sheet</t>
  </si>
  <si>
    <t>KPI 1 and 2 need to pulate from the setup selection</t>
  </si>
  <si>
    <t>Make it based on Ripster's and your OneNotes</t>
  </si>
  <si>
    <t>Done</t>
  </si>
  <si>
    <t>Define the daily process and add to MS ToDo</t>
  </si>
  <si>
    <t>Define what Retro BI should look like</t>
  </si>
  <si>
    <t>In Python, each trade can be a dictionary.</t>
  </si>
  <si>
    <t>Make a Trade Class perhaps</t>
  </si>
  <si>
    <t>On Sundays</t>
  </si>
  <si>
    <t>Clear the Weekly One Pager.</t>
  </si>
  <si>
    <t>Do your weekly market analysis and add them to the Journal.</t>
  </si>
  <si>
    <t>If the entry is marked as Yes to one pager, pass the the information to Weekly One Pager sheet.</t>
  </si>
  <si>
    <t>Copy the Weekly One Pager entries to the OneNote.</t>
  </si>
  <si>
    <t>Arrange the Weekly One Pager by Market comments, Stock comments, Followup comments.</t>
  </si>
  <si>
    <t>Daily:</t>
  </si>
  <si>
    <t>Paste the TraderSync daily export on TraderSync Export sheet.</t>
  </si>
  <si>
    <t>If Status not OPEN, Populate the respective Trade Log sheet data points.</t>
  </si>
  <si>
    <t xml:space="preserve">Assign a unique TradeID to each trade. </t>
  </si>
  <si>
    <t>If a trade came from an Idea, bring the Trade ID to the Ideas sheet.</t>
  </si>
  <si>
    <t>Automatically populate the Retro sheet data from the Trade Log sheet via TradeID.</t>
  </si>
  <si>
    <t>Recognize Strategy from Setup.</t>
  </si>
  <si>
    <t>Recognize Source from Setup.</t>
  </si>
  <si>
    <t>Recognize Quality from Setup.</t>
  </si>
  <si>
    <t>Recognize Exit Feeling from Mistake.</t>
  </si>
  <si>
    <t>Recognize Retrospective requirement from Setup_Data, add to trade date.</t>
  </si>
  <si>
    <t>Populate KPI2 and 3 data from the TradeLog</t>
  </si>
  <si>
    <t>Reminders:</t>
  </si>
  <si>
    <t>Journal: 30D retro needs to be performed to determine if I was right or not. Probably can be automated based on Price.</t>
  </si>
  <si>
    <t>Retro: Add due Retros</t>
  </si>
  <si>
    <t>Ideas: Taken ideas are missing a TradeID</t>
  </si>
  <si>
    <t>Document Scope</t>
  </si>
  <si>
    <t>This document's purpose is to keep track of the trades and analysis carried on a weekly basis.</t>
  </si>
  <si>
    <t>This document will record the weekly market one page summaries so we can record an evolution of these analyses. The current one pager is shown as quick notes in OneNote.</t>
  </si>
  <si>
    <t>We will also record trade ideas and define high level data of the trade.</t>
  </si>
  <si>
    <t>Additionally, we will execute the retrospective for all trades and record the data in this sheet.</t>
  </si>
  <si>
    <t>Lastly, keep a journal of stock analysis ideas that are to be kept through time.</t>
  </si>
  <si>
    <t>To Dos</t>
  </si>
  <si>
    <t>A summary of all pending tasks open in the Journal.</t>
  </si>
  <si>
    <t>A dashboard with all the sourced ideas. The one I have is sufficient, but need to add a column for strategy.</t>
  </si>
  <si>
    <t>Retrospective</t>
  </si>
  <si>
    <t>Same as the ideas dashboard, but just for the taken trades. This is where Kaizen will be written. It needs to automatically hide past trades so that it's not clumsy.</t>
  </si>
  <si>
    <t>One Pager</t>
  </si>
  <si>
    <t>Shows the expected market trend for the week and day. Shows most attractive stocks to trade today and a quick why, as well as key levels to watch.</t>
  </si>
  <si>
    <t>A journal where I can put a stock information accross time. What pattern is governing, how it's behaving, important levels, etc. A collection of all my notes every time I've analyzed the stock.</t>
  </si>
  <si>
    <t>This log will keep track of all the trades we carry, including entry price, exit, tags and strategies which will be used for retrospectives. Based off Tradersyncs Export. Only fully executed trades will be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</si>
</sst>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yyyy\-mm\-dd"/>
    <numFmt numFmtId="166" formatCode="yyyy\-mm\-dd\ h:mm:ss"/>
  </numFmts>
  <fonts count="15" x14ac:knownFonts="1">
    <font>
      <sz val="11"/>
      <color theme="1"/>
      <name val="Calibri"/>
      <family val="2"/>
      <scheme val="minor"/>
    </font>
    <font>
      <b/>
      <sz val="11"/>
      <color theme="1"/>
      <name val="Calibri"/>
      <family val="2"/>
      <scheme val="minor"/>
    </font>
    <font>
      <sz val="10"/>
      <name val="Calibri"/>
      <family val="2"/>
      <scheme val="minor"/>
    </font>
    <font>
      <i/>
      <sz val="10"/>
      <name val="Calibri"/>
      <family val="2"/>
      <scheme val="minor"/>
    </font>
    <font>
      <i/>
      <sz val="10"/>
      <color theme="1"/>
      <name val="Calibri"/>
      <family val="2"/>
      <scheme val="minor"/>
    </font>
    <font>
      <sz val="11"/>
      <color theme="1" tint="0.24994659260841701"/>
      <name val="Calibri"/>
      <family val="2"/>
      <scheme val="minor"/>
    </font>
    <font>
      <u/>
      <sz val="12"/>
      <color theme="10"/>
      <name val="Calibri"/>
      <family val="2"/>
      <scheme val="minor"/>
    </font>
    <font>
      <sz val="12"/>
      <name val="Calibri"/>
      <family val="2"/>
      <scheme val="minor"/>
    </font>
    <font>
      <sz val="11"/>
      <color theme="1"/>
      <name val="Calibri"/>
      <family val="2"/>
      <scheme val="minor"/>
    </font>
    <font>
      <sz val="11"/>
      <color rgb="FF00B050"/>
      <name val="Calibri"/>
      <family val="2"/>
      <scheme val="minor"/>
    </font>
    <font>
      <sz val="10"/>
      <color theme="1"/>
      <name val="Calibri"/>
      <family val="2"/>
      <scheme val="minor"/>
    </font>
    <font>
      <i/>
      <sz val="11"/>
      <color theme="1"/>
      <name val="Calibri"/>
      <family val="2"/>
      <scheme val="minor"/>
    </font>
    <font>
      <i/>
      <sz val="10"/>
      <color rgb="FF00B050"/>
      <name val="Calibri"/>
      <family val="2"/>
      <scheme val="minor"/>
    </font>
    <font>
      <sz val="10"/>
      <color rgb="FF00B050"/>
      <name val="Calibri"/>
      <family val="2"/>
      <scheme val="minor"/>
    </font>
    <font>
      <sz val="11"/>
      <color rgb="FF0070C0"/>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5">
    <xf numFmtId="0" fontId="0" fillId="0" borderId="0"/>
    <xf numFmtId="0" fontId="5" fillId="0" borderId="0"/>
    <xf numFmtId="0" fontId="7" fillId="0" borderId="0"/>
    <xf numFmtId="0" fontId="6" fillId="0" borderId="0"/>
    <xf numFmtId="9" fontId="8" fillId="0" borderId="0"/>
  </cellStyleXfs>
  <cellXfs count="37">
    <xf numFmtId="0" fontId="0" fillId="0" borderId="0" xfId="0"/>
    <xf numFmtId="0" fontId="1" fillId="0" borderId="0" xfId="0" applyFont="1"/>
    <xf numFmtId="0" fontId="0" fillId="0" borderId="0" xfId="0" applyAlignment="1">
      <alignment horizontal="left" vertical="center"/>
    </xf>
    <xf numFmtId="14" fontId="0" fillId="0" borderId="0" xfId="0" applyNumberFormat="1" applyAlignment="1">
      <alignment horizontal="left" vertical="center"/>
    </xf>
    <xf numFmtId="164" fontId="0" fillId="0" borderId="0" xfId="0" applyNumberForma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14" fontId="4" fillId="0" borderId="0" xfId="0" applyNumberFormat="1" applyFont="1" applyAlignment="1">
      <alignment horizontal="left" vertical="center"/>
    </xf>
    <xf numFmtId="164" fontId="4" fillId="0" borderId="0" xfId="0" applyNumberFormat="1" applyFont="1" applyAlignment="1">
      <alignment horizontal="left" vertical="center"/>
    </xf>
    <xf numFmtId="4" fontId="4" fillId="0" borderId="0" xfId="0" applyNumberFormat="1" applyFont="1" applyAlignment="1">
      <alignment horizontal="left" vertical="center"/>
    </xf>
    <xf numFmtId="0" fontId="4" fillId="0" borderId="0" xfId="0" applyFont="1" applyAlignment="1">
      <alignment horizontal="left" vertical="center"/>
    </xf>
    <xf numFmtId="14" fontId="0" fillId="0" borderId="0" xfId="0" applyNumberFormat="1"/>
    <xf numFmtId="9" fontId="0" fillId="0" borderId="0" xfId="4" applyFont="1"/>
    <xf numFmtId="9" fontId="9" fillId="0" borderId="0" xfId="4" applyFont="1"/>
    <xf numFmtId="0" fontId="9" fillId="0" borderId="0" xfId="0" applyFont="1"/>
    <xf numFmtId="0" fontId="10" fillId="0" borderId="0" xfId="0" applyFont="1"/>
    <xf numFmtId="0" fontId="11" fillId="0" borderId="0" xfId="0" applyFont="1"/>
    <xf numFmtId="164" fontId="9" fillId="0" borderId="0" xfId="0" applyNumberFormat="1" applyFont="1" applyAlignment="1">
      <alignment horizontal="left" vertical="center"/>
    </xf>
    <xf numFmtId="164" fontId="12" fillId="0" borderId="0" xfId="0" applyNumberFormat="1" applyFont="1" applyAlignment="1">
      <alignment horizontal="left" vertical="center"/>
    </xf>
    <xf numFmtId="0" fontId="9" fillId="0" borderId="0" xfId="0" applyFont="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center"/>
    </xf>
    <xf numFmtId="14" fontId="9" fillId="0" borderId="0" xfId="0" applyNumberFormat="1" applyFont="1" applyAlignment="1">
      <alignment horizontal="left" vertical="center"/>
    </xf>
    <xf numFmtId="14" fontId="12" fillId="0" borderId="0" xfId="0" applyNumberFormat="1" applyFont="1" applyAlignment="1">
      <alignment horizontal="left" vertical="center"/>
    </xf>
    <xf numFmtId="0" fontId="14" fillId="0" borderId="0" xfId="0" applyFont="1"/>
    <xf numFmtId="164" fontId="9" fillId="0" borderId="0" xfId="0" applyNumberFormat="1" applyFont="1"/>
    <xf numFmtId="0" fontId="14" fillId="0" borderId="0" xfId="0" applyFont="1" applyAlignment="1">
      <alignment horizontal="left" vertical="center"/>
    </xf>
    <xf numFmtId="14" fontId="14" fillId="0" borderId="0" xfId="0" applyNumberFormat="1" applyFont="1" applyAlignment="1">
      <alignment horizontal="left" vertical="center"/>
    </xf>
    <xf numFmtId="164" fontId="14" fillId="0" borderId="0" xfId="0" applyNumberFormat="1" applyFont="1" applyAlignment="1">
      <alignment horizontal="left" vertical="center"/>
    </xf>
    <xf numFmtId="4" fontId="0" fillId="0" borderId="0" xfId="0" applyNumberFormat="1" applyAlignment="1">
      <alignment horizontal="left" vertical="center"/>
    </xf>
    <xf numFmtId="14" fontId="14" fillId="0" borderId="0" xfId="0" applyNumberFormat="1" applyFont="1"/>
    <xf numFmtId="0" fontId="0" fillId="2" borderId="0" xfId="0" applyFill="1"/>
    <xf numFmtId="0" fontId="0" fillId="0" borderId="0" xfId="0" applyAlignment="1">
      <alignment wrapText="1"/>
    </xf>
    <xf numFmtId="14" fontId="9" fillId="0" borderId="0" xfId="0" applyNumberFormat="1" applyFont="1"/>
    <xf numFmtId="165" fontId="0" fillId="0" borderId="0" xfId="0" applyNumberFormat="1"/>
    <xf numFmtId="166" fontId="0" fillId="0" borderId="0" xfId="0" applyNumberFormat="1"/>
    <xf numFmtId="10" fontId="0" fillId="0" borderId="0" xfId="0" applyNumberFormat="1"/>
  </cellXfs>
  <cellStyles count="5">
    <cellStyle name="Hyperlink 2" xfId="3" xr:uid="{00000000-0005-0000-0000-000003000000}"/>
    <cellStyle name="Normal" xfId="0" builtinId="0"/>
    <cellStyle name="Normal 2" xfId="2" xr:uid="{00000000-0005-0000-0000-000002000000}"/>
    <cellStyle name="Normal 3" xfId="1" xr:uid="{00000000-0005-0000-0000-000001000000}"/>
    <cellStyle name="Percent" xfId="4" builtinId="5"/>
  </cellStyles>
  <dxfs count="45">
    <dxf>
      <font>
        <strike val="0"/>
        <outline val="0"/>
        <shadow val="0"/>
        <vertAlign val="baseline"/>
        <sz val="10"/>
        <name val="Calibri"/>
        <family val="2"/>
        <scheme val="minor"/>
      </font>
    </dxf>
    <dxf>
      <font>
        <strike val="0"/>
        <outline val="0"/>
        <shadow val="0"/>
        <vertAlign val="baseline"/>
        <sz val="10"/>
        <name val="Calibri"/>
        <family val="2"/>
        <scheme val="minor"/>
      </font>
    </dxf>
    <dxf>
      <alignment horizontal="left" vertical="center"/>
    </dxf>
    <dxf>
      <alignment horizontal="left" vertical="center"/>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dxf>
    <dxf>
      <font>
        <strike val="0"/>
        <outline val="0"/>
        <shadow val="0"/>
        <vertAlign val="baseline"/>
        <sz val="10"/>
        <color rgb="FF00B050"/>
        <name val="Calibri"/>
        <family val="2"/>
        <scheme val="minor"/>
      </font>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numFmt numFmtId="19" formatCode="m/d/yyyy"/>
    </dxf>
    <dxf>
      <font>
        <strike val="0"/>
        <condense val="0"/>
        <extend val="0"/>
        <outline val="0"/>
        <shadow val="0"/>
        <vertAlign val="baseline"/>
        <sz val="10"/>
        <color rgb="FF00B050"/>
        <name val="Calibri"/>
        <family val="2"/>
        <scheme val="minor"/>
      </font>
      <alignment horizontal="left" vertical="center"/>
    </dxf>
    <dxf>
      <font>
        <strike val="0"/>
        <condense val="0"/>
        <extend val="0"/>
        <outline val="0"/>
        <shadow val="0"/>
        <vertAlign val="baseline"/>
        <sz val="10"/>
        <color rgb="FF00B050"/>
        <name val="Calibri"/>
        <family val="2"/>
        <scheme val="minor"/>
      </font>
      <alignment horizontal="left" vertical="center"/>
    </dxf>
    <dxf>
      <font>
        <strike val="0"/>
        <outline val="0"/>
        <shadow val="0"/>
        <vertAlign val="baseline"/>
        <sz val="10"/>
        <name val="Calibri"/>
        <family val="2"/>
        <scheme val="minor"/>
      </font>
    </dxf>
    <dxf>
      <numFmt numFmtId="164" formatCode="&quot;$&quot;#,##0.00"/>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164" formatCode="&quot;$&quot;#,##0.00"/>
    </dxf>
    <dxf>
      <font>
        <strike val="0"/>
        <outline val="0"/>
        <shadow val="0"/>
        <vertAlign val="baseline"/>
        <sz val="10"/>
        <color theme="1"/>
        <name val="Calibri"/>
        <family val="2"/>
        <scheme val="minor"/>
      </font>
      <numFmt numFmtId="164" formatCode="&quot;$&quot;#,##0.00"/>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4" formatCode="#,##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9" formatCode="m/d/yyyy"/>
    </dxf>
    <dxf>
      <font>
        <strike val="0"/>
        <condense val="0"/>
        <extend val="0"/>
        <outline val="0"/>
        <shadow val="0"/>
        <vertAlign val="baseline"/>
        <sz val="10"/>
        <color auto="1"/>
        <name val="Calibri"/>
        <family val="2"/>
        <scheme val="minor"/>
      </font>
    </dxf>
    <dxf>
      <font>
        <strike val="0"/>
        <outline val="0"/>
        <shadow val="0"/>
        <vertAlign val="baseline"/>
        <sz val="10"/>
        <name val="Calibri"/>
        <family val="2"/>
        <scheme val="minor"/>
      </font>
    </dxf>
    <dxf>
      <numFmt numFmtId="164" formatCode="&quot;$&quot;#,##0.00"/>
    </dxf>
    <dxf>
      <font>
        <b/>
        <i/>
        <color theme="3"/>
      </font>
      <fill>
        <patternFill>
          <bgColor theme="4" tint="0.79998168889431442"/>
        </patternFill>
      </fill>
      <border>
        <left/>
        <right/>
        <top/>
        <bottom/>
        <vertical/>
        <horizontal/>
      </border>
    </dxf>
    <dxf>
      <font>
        <b/>
        <i/>
        <color theme="3"/>
      </font>
      <fill>
        <patternFill patternType="solid">
          <fgColor auto="1"/>
          <bgColor theme="0" tint="-4.9989318521683403E-2"/>
        </patternFill>
      </fill>
    </dxf>
    <dxf>
      <font>
        <b/>
        <i/>
        <color theme="3"/>
      </font>
      <fill>
        <patternFill>
          <bgColor theme="4" tint="0.79998168889431442"/>
        </patternFill>
      </fill>
      <border>
        <left/>
        <right/>
        <top/>
        <bottom style="thin">
          <color theme="4"/>
        </bottom>
        <vertical/>
        <horizontal/>
      </border>
    </dxf>
    <dxf>
      <font>
        <b/>
        <i/>
        <color theme="3"/>
      </font>
      <fill>
        <patternFill>
          <fgColor auto="1"/>
          <bgColor auto="1"/>
        </patternFill>
      </fill>
      <border>
        <left/>
        <right/>
        <top/>
        <bottom/>
        <vertical/>
        <horizontal/>
      </border>
    </dxf>
    <dxf>
      <font>
        <b/>
        <i/>
        <color theme="3"/>
      </font>
      <fill>
        <patternFill patternType="solid">
          <fgColor theme="8" tint="0.79989013336588644"/>
          <bgColor theme="0" tint="-4.9989318521683403E-2"/>
        </patternFill>
      </fill>
      <border>
        <left/>
        <right/>
        <top/>
        <bottom style="thin">
          <color theme="4"/>
        </bottom>
        <vertical/>
        <horizontal/>
      </border>
    </dxf>
  </dxfs>
  <tableStyles count="1" defaultTableStyle="TableStyleMedium2" defaultPivotStyle="PivotStyleLight16">
    <tableStyle name="CustomerProfitabilityAnalysis_table2" pivot="0" count="5" xr9:uid="{00000000-0011-0000-FFFF-FFFF00000000}">
      <tableStyleElement type="wholeTable" dxfId="44"/>
      <tableStyleElement type="headerRow" dxfId="43"/>
      <tableStyleElement type="firstColumn" dxfId="42"/>
      <tableStyleElement type="lastColumn" dxfId="41"/>
      <tableStyleElement type="first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U57" totalsRowShown="0" headerRowDxfId="39" dataDxfId="38">
  <autoFilter ref="A1:U57" xr:uid="{00000000-0009-0000-0100-000001000000}"/>
  <tableColumns count="21">
    <tableColumn id="1" xr3:uid="{00000000-0010-0000-0000-000001000000}" name="Ticker" dataDxfId="37"/>
    <tableColumn id="2" xr3:uid="{00000000-0010-0000-0000-000002000000}" name="Date" dataDxfId="36"/>
    <tableColumn id="3" xr3:uid="{00000000-0010-0000-0000-000003000000}" name="Current Price" dataDxfId="35"/>
    <tableColumn id="4" xr3:uid="{00000000-0010-0000-0000-000004000000}" name="Target Entry" dataDxfId="34"/>
    <tableColumn id="5" xr3:uid="{00000000-0010-0000-0000-000005000000}" name="Target Price" dataDxfId="33"/>
    <tableColumn id="6" xr3:uid="{00000000-0010-0000-0000-000006000000}" name="Stop" dataDxfId="32"/>
    <tableColumn id="7" xr3:uid="{00000000-0010-0000-0000-000007000000}" name="RR Ratio" dataDxfId="31">
      <calculatedColumnFormula>(Table2[[#This Row],[Target Price]]-Table2[[#This Row],[Target Entry]])/(Table2[[#This Row],[Target Entry]]-Table2[[#This Row],[Stop]])</calculatedColumnFormula>
    </tableColumn>
    <tableColumn id="8" xr3:uid="{00000000-0010-0000-0000-000008000000}" name="Trade Direction" dataDxfId="30"/>
    <tableColumn id="10" xr3:uid="{00000000-0010-0000-0000-00000A000000}" name="Strategy" dataDxfId="29"/>
    <tableColumn id="20" xr3:uid="{00000000-0010-0000-0000-000014000000}" name="Market"/>
    <tableColumn id="19" xr3:uid="{00000000-0010-0000-0000-000013000000}" name="Relative"/>
    <tableColumn id="11" xr3:uid="{00000000-0010-0000-0000-00000B000000}" name="1hr Trend" dataDxfId="28"/>
    <tableColumn id="14" xr3:uid="{00000000-0010-0000-0000-00000E000000}" name="1hr Cloud" dataDxfId="27"/>
    <tableColumn id="15" xr3:uid="{00000000-0010-0000-0000-00000F000000}" name="Intended Position" dataDxfId="26"/>
    <tableColumn id="18" xr3:uid="{00000000-0010-0000-0000-000012000000}" name="To win Money" dataDxfId="25">
      <calculatedColumnFormula>IF(Table2[[#This Row],[Trade Direction]]="Short",Table2[[#This Row],[Target Entry]]-Table2[[#This Row],[Target Price]],Table2[[#This Row],[Target Price]]-Table2[[#This Row],[Target Entry]])*Table2[[#This Row],[Intended Position]]</calculatedColumnFormula>
    </tableColumn>
    <tableColumn id="16" xr3:uid="{00000000-0010-0000-0000-000010000000}" name="Money Risk" dataDxfId="24">
      <calculatedColumnFormula>IF(Table2[[#This Row],[Trade Direction]]="Short",Table2[[#This Row],[Target Entry]]-Table2[[#This Row],[Stop]],Table2[[#This Row],[Stop]]-Table2[[#This Row],[Target Entry]])*Table2[[#This Row],[Intended Position]]</calculatedColumnFormula>
    </tableColumn>
    <tableColumn id="9" xr3:uid="{00000000-0010-0000-0000-000009000000}" name="Notes" dataDxfId="23"/>
    <tableColumn id="17" xr3:uid="{00000000-0010-0000-0000-000011000000}" name="Sourced" dataDxfId="22"/>
    <tableColumn id="12" xr3:uid="{00000000-0010-0000-0000-00000C000000}" name="Quality" dataDxfId="21"/>
    <tableColumn id="13" xr3:uid="{00000000-0010-0000-0000-00000D000000}" name="Filter" dataDxfId="20"/>
    <tableColumn id="23" xr3:uid="{00000000-0010-0000-0000-000017000000}" name="Trade ID" dataDxfId="19"/>
  </tableColumns>
  <tableStyleInfo name="CustomerProfitabilityAnalysis_table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3" displayName="Table23" ref="A1:Q57" totalsRowShown="0" headerRowDxfId="18" dataDxfId="17">
  <autoFilter ref="A1:Q57" xr:uid="{00000000-0009-0000-0100-000002000000}"/>
  <tableColumns count="17">
    <tableColumn id="14" xr3:uid="{00000000-0010-0000-0100-00000E000000}" name="Trade ID" dataDxfId="16"/>
    <tableColumn id="1" xr3:uid="{00000000-0010-0000-0100-000001000000}" name="Ticker" dataDxfId="15"/>
    <tableColumn id="2" xr3:uid="{00000000-0010-0000-0100-000002000000}" name="Close Date" dataDxfId="14"/>
    <tableColumn id="3" xr3:uid="{00000000-0010-0000-0100-000003000000}" name="Entry Price" dataDxfId="13"/>
    <tableColumn id="4" xr3:uid="{00000000-0010-0000-0100-000004000000}" name="Exit Price" dataDxfId="12"/>
    <tableColumn id="5" xr3:uid="{00000000-0010-0000-0100-000005000000}" name="Avg Buy" dataDxfId="11"/>
    <tableColumn id="6" xr3:uid="{00000000-0010-0000-0100-000006000000}" name="Avg Sell" dataDxfId="10"/>
    <tableColumn id="8" xr3:uid="{00000000-0010-0000-0100-000008000000}" name="Net Return" dataDxfId="9"/>
    <tableColumn id="10" xr3:uid="{00000000-0010-0000-0100-00000A000000}" name="Strategy" dataDxfId="8"/>
    <tableColumn id="18" xr3:uid="{00000000-0010-0000-0100-000012000000}" name="Status" dataDxfId="7"/>
    <tableColumn id="9" xr3:uid="{00000000-0010-0000-0100-000009000000}" name="Exit Feeling" dataDxfId="6"/>
    <tableColumn id="17" xr3:uid="{00000000-0010-0000-0100-000011000000}" name="Sourced" dataDxfId="5"/>
    <tableColumn id="12" xr3:uid="{00000000-0010-0000-0100-00000C000000}" name="Quality" dataDxfId="4"/>
    <tableColumn id="15" xr3:uid="{00000000-0010-0000-0100-00000F000000}" name="Retro Due Date" dataDxfId="3"/>
    <tableColumn id="11" xr3:uid="{00000000-0010-0000-0100-00000B000000}" name="KPI #1" dataDxfId="2"/>
    <tableColumn id="13" xr3:uid="{00000000-0010-0000-0100-00000D000000}" name="KPI #2" dataDxfId="1"/>
    <tableColumn id="19" xr3:uid="{00000000-0010-0000-0100-000013000000}" name="KPI #3" dataDxfId="0"/>
  </tableColumns>
  <tableStyleInfo name="CustomerProfitabilityAnalysis_table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1"/>
  <sheetViews>
    <sheetView workbookViewId="0">
      <selection activeCell="L20" sqref="L20"/>
    </sheetView>
  </sheetViews>
  <sheetFormatPr defaultRowHeight="14.5" x14ac:dyDescent="0.35"/>
  <sheetData>
    <row r="1" spans="1:2" x14ac:dyDescent="0.35">
      <c r="A1" t="s">
        <v>0</v>
      </c>
      <c r="B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activeCell="B2" sqref="B2"/>
    </sheetView>
  </sheetViews>
  <sheetFormatPr defaultRowHeight="14.5" x14ac:dyDescent="0.35"/>
  <cols>
    <col min="1" max="1" width="19.26953125" style="11" customWidth="1"/>
  </cols>
  <sheetData>
    <row r="1" spans="1:6" x14ac:dyDescent="0.35">
      <c r="A1" s="33" t="s">
        <v>2</v>
      </c>
      <c r="B1" s="14" t="s">
        <v>3</v>
      </c>
      <c r="C1" s="14" t="s">
        <v>4</v>
      </c>
      <c r="D1" s="14" t="s">
        <v>5</v>
      </c>
      <c r="E1" s="14" t="s">
        <v>6</v>
      </c>
      <c r="F1" t="s">
        <v>7</v>
      </c>
    </row>
    <row r="2" spans="1:6" x14ac:dyDescent="0.35">
      <c r="A2" s="34">
        <v>45427</v>
      </c>
      <c r="B2" t="s">
        <v>8</v>
      </c>
      <c r="C2" t="s">
        <v>9</v>
      </c>
      <c r="D2">
        <v>90</v>
      </c>
      <c r="E2">
        <v>150</v>
      </c>
      <c r="F2" t="s">
        <v>10</v>
      </c>
    </row>
    <row r="3" spans="1:6" x14ac:dyDescent="0.35">
      <c r="A3" s="34">
        <v>45426</v>
      </c>
      <c r="B3" t="s">
        <v>11</v>
      </c>
      <c r="C3" t="s">
        <v>9</v>
      </c>
      <c r="D3">
        <v>90</v>
      </c>
      <c r="E3">
        <v>150</v>
      </c>
      <c r="F3" t="s">
        <v>10</v>
      </c>
    </row>
    <row r="4" spans="1:6" x14ac:dyDescent="0.35">
      <c r="A4" s="34">
        <v>45426</v>
      </c>
      <c r="B4" t="s">
        <v>12</v>
      </c>
      <c r="C4" t="s">
        <v>9</v>
      </c>
      <c r="D4">
        <v>90</v>
      </c>
      <c r="E4">
        <v>150</v>
      </c>
      <c r="F4" t="s">
        <v>10</v>
      </c>
    </row>
    <row r="5" spans="1:6" x14ac:dyDescent="0.35">
      <c r="A5" s="34">
        <v>45426</v>
      </c>
      <c r="B5" t="s">
        <v>13</v>
      </c>
      <c r="C5" t="s">
        <v>9</v>
      </c>
      <c r="D5">
        <v>90</v>
      </c>
      <c r="E5">
        <v>150</v>
      </c>
      <c r="F5" t="s">
        <v>10</v>
      </c>
    </row>
    <row r="6" spans="1:6" x14ac:dyDescent="0.35">
      <c r="A6" s="34">
        <v>45426</v>
      </c>
      <c r="B6" t="s">
        <v>14</v>
      </c>
      <c r="C6" t="s">
        <v>9</v>
      </c>
      <c r="D6">
        <v>90</v>
      </c>
      <c r="E6">
        <v>150</v>
      </c>
      <c r="F6" t="s">
        <v>10</v>
      </c>
    </row>
    <row r="7" spans="1:6" x14ac:dyDescent="0.35">
      <c r="A7" s="34">
        <v>45425</v>
      </c>
      <c r="B7" t="s">
        <v>15</v>
      </c>
      <c r="C7" t="s">
        <v>9</v>
      </c>
      <c r="D7">
        <v>5.5</v>
      </c>
      <c r="E7">
        <v>3020.8</v>
      </c>
      <c r="F7" t="s">
        <v>16</v>
      </c>
    </row>
    <row r="8" spans="1:6" x14ac:dyDescent="0.35">
      <c r="A8" s="34">
        <v>45425</v>
      </c>
      <c r="B8" t="s">
        <v>17</v>
      </c>
      <c r="C8" t="s">
        <v>9</v>
      </c>
      <c r="D8">
        <v>5.5</v>
      </c>
      <c r="E8">
        <v>3020.8</v>
      </c>
      <c r="F8" t="s">
        <v>18</v>
      </c>
    </row>
    <row r="9" spans="1:6" x14ac:dyDescent="0.35">
      <c r="A9" s="34">
        <v>45425</v>
      </c>
      <c r="B9" t="s">
        <v>19</v>
      </c>
      <c r="C9" t="s">
        <v>9</v>
      </c>
      <c r="D9">
        <v>5.5</v>
      </c>
      <c r="E9">
        <v>3020.8</v>
      </c>
      <c r="F9" t="s">
        <v>20</v>
      </c>
    </row>
    <row r="10" spans="1:6" x14ac:dyDescent="0.35">
      <c r="A10" s="34">
        <v>45425</v>
      </c>
      <c r="B10" t="s">
        <v>21</v>
      </c>
      <c r="C10" t="s">
        <v>9</v>
      </c>
      <c r="D10">
        <v>5.5</v>
      </c>
      <c r="E10">
        <v>3020.8</v>
      </c>
      <c r="F10" t="s">
        <v>22</v>
      </c>
    </row>
    <row r="11" spans="1:6" x14ac:dyDescent="0.35">
      <c r="A11" s="34">
        <v>45425</v>
      </c>
      <c r="B11" t="s">
        <v>23</v>
      </c>
      <c r="C11" t="s">
        <v>9</v>
      </c>
      <c r="D11">
        <v>5.5</v>
      </c>
      <c r="E11">
        <v>3020.8</v>
      </c>
      <c r="F11" t="s">
        <v>24</v>
      </c>
    </row>
    <row r="12" spans="1:6" x14ac:dyDescent="0.35">
      <c r="A12" s="34">
        <v>45425</v>
      </c>
      <c r="B12" t="s">
        <v>25</v>
      </c>
      <c r="C12" t="s">
        <v>9</v>
      </c>
      <c r="D12">
        <v>85</v>
      </c>
      <c r="E12">
        <v>120.5</v>
      </c>
      <c r="F12" t="s">
        <v>26</v>
      </c>
    </row>
    <row r="13" spans="1:6" x14ac:dyDescent="0.35">
      <c r="A13" s="34">
        <v>45425</v>
      </c>
      <c r="B13" t="s">
        <v>25</v>
      </c>
      <c r="C13" t="s">
        <v>9</v>
      </c>
      <c r="D13">
        <v>85</v>
      </c>
      <c r="E13">
        <v>120.5</v>
      </c>
      <c r="F13" t="s">
        <v>26</v>
      </c>
    </row>
    <row r="14" spans="1:6" x14ac:dyDescent="0.35">
      <c r="A14" s="34">
        <v>45425</v>
      </c>
      <c r="B14" t="s">
        <v>27</v>
      </c>
      <c r="C14" t="s">
        <v>9</v>
      </c>
      <c r="D14">
        <v>5.5</v>
      </c>
      <c r="E14">
        <v>3020.8</v>
      </c>
      <c r="F14" t="s">
        <v>16</v>
      </c>
    </row>
    <row r="15" spans="1:6" x14ac:dyDescent="0.35">
      <c r="A15" s="34">
        <v>45425</v>
      </c>
    </row>
    <row r="16" spans="1:6" x14ac:dyDescent="0.35">
      <c r="A16" s="34">
        <v>45425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autoPageBreaks="0"/>
  </sheetPr>
  <dimension ref="A1:M16"/>
  <sheetViews>
    <sheetView zoomScaleNormal="100" workbookViewId="0">
      <selection activeCell="D20" sqref="D20"/>
    </sheetView>
  </sheetViews>
  <sheetFormatPr defaultRowHeight="14.5" customHeight="1" x14ac:dyDescent="0.35"/>
  <cols>
    <col min="1" max="1" width="10.7265625" style="11" customWidth="1"/>
    <col min="5" max="5" width="13.08984375" customWidth="1"/>
    <col min="6" max="6" width="15.453125" customWidth="1"/>
    <col min="7" max="7" width="17.1796875" customWidth="1"/>
    <col min="8" max="8" width="17" customWidth="1"/>
    <col min="9" max="9" width="13.08984375" customWidth="1"/>
    <col min="10" max="10" width="12.6328125" customWidth="1"/>
    <col min="11" max="11" width="11" customWidth="1"/>
  </cols>
  <sheetData>
    <row r="1" spans="1:13" ht="14.5" customHeight="1" x14ac:dyDescent="0.35">
      <c r="A1" s="30" t="s">
        <v>2</v>
      </c>
      <c r="B1" s="24" t="s">
        <v>3</v>
      </c>
      <c r="C1" s="24" t="s">
        <v>28</v>
      </c>
      <c r="D1" s="24" t="s">
        <v>29</v>
      </c>
      <c r="E1" s="24" t="s">
        <v>30</v>
      </c>
      <c r="F1" s="24" t="s">
        <v>31</v>
      </c>
      <c r="G1" s="24" t="s">
        <v>32</v>
      </c>
      <c r="H1" s="24" t="s">
        <v>5</v>
      </c>
      <c r="I1" s="24" t="s">
        <v>6</v>
      </c>
      <c r="J1" s="24" t="s">
        <v>4</v>
      </c>
      <c r="K1" s="24" t="s">
        <v>33</v>
      </c>
      <c r="L1" s="24" t="s">
        <v>34</v>
      </c>
      <c r="M1" s="24" t="s">
        <v>35</v>
      </c>
    </row>
    <row r="2" spans="1:13" ht="14.5" customHeight="1" x14ac:dyDescent="0.35">
      <c r="A2" s="11">
        <v>45426</v>
      </c>
      <c r="B2" t="s">
        <v>11</v>
      </c>
      <c r="C2">
        <v>100</v>
      </c>
      <c r="D2" t="s">
        <v>36</v>
      </c>
      <c r="E2" t="s">
        <v>36</v>
      </c>
      <c r="F2" t="s">
        <v>37</v>
      </c>
      <c r="G2" t="s">
        <v>38</v>
      </c>
      <c r="H2">
        <v>90</v>
      </c>
      <c r="I2">
        <v>150</v>
      </c>
      <c r="J2" t="s">
        <v>9</v>
      </c>
      <c r="L2" s="32" t="s">
        <v>10</v>
      </c>
    </row>
    <row r="3" spans="1:13" ht="14.5" customHeight="1" x14ac:dyDescent="0.35">
      <c r="A3" s="11">
        <v>45425</v>
      </c>
      <c r="B3" t="s">
        <v>15</v>
      </c>
      <c r="C3">
        <v>110</v>
      </c>
      <c r="D3" t="s">
        <v>39</v>
      </c>
      <c r="E3" t="s">
        <v>36</v>
      </c>
      <c r="F3" t="s">
        <v>37</v>
      </c>
      <c r="G3" t="s">
        <v>38</v>
      </c>
      <c r="H3">
        <v>5.5</v>
      </c>
      <c r="I3">
        <v>3020.8</v>
      </c>
      <c r="J3" t="s">
        <v>9</v>
      </c>
      <c r="L3" t="s">
        <v>16</v>
      </c>
    </row>
    <row r="4" spans="1:13" ht="14.5" customHeight="1" x14ac:dyDescent="0.35">
      <c r="A4" s="11">
        <v>45425</v>
      </c>
      <c r="B4" t="s">
        <v>17</v>
      </c>
      <c r="C4">
        <v>120</v>
      </c>
      <c r="D4" t="s">
        <v>39</v>
      </c>
      <c r="E4" t="s">
        <v>36</v>
      </c>
      <c r="F4" t="s">
        <v>37</v>
      </c>
      <c r="G4" t="s">
        <v>38</v>
      </c>
      <c r="H4">
        <v>5.5</v>
      </c>
      <c r="I4">
        <v>3020.8</v>
      </c>
      <c r="J4" t="s">
        <v>9</v>
      </c>
      <c r="L4" t="s">
        <v>18</v>
      </c>
    </row>
    <row r="5" spans="1:13" ht="14.5" customHeight="1" x14ac:dyDescent="0.35">
      <c r="A5" s="11">
        <v>45425</v>
      </c>
      <c r="B5" t="s">
        <v>21</v>
      </c>
      <c r="C5">
        <v>130</v>
      </c>
      <c r="D5" t="s">
        <v>39</v>
      </c>
      <c r="E5" t="s">
        <v>39</v>
      </c>
      <c r="F5" t="s">
        <v>37</v>
      </c>
      <c r="G5" t="s">
        <v>38</v>
      </c>
      <c r="H5">
        <v>5.5</v>
      </c>
      <c r="I5">
        <v>3020.8</v>
      </c>
      <c r="J5" t="s">
        <v>9</v>
      </c>
      <c r="L5" t="s">
        <v>22</v>
      </c>
      <c r="M5" t="s">
        <v>40</v>
      </c>
    </row>
    <row r="6" spans="1:13" ht="14.5" customHeight="1" x14ac:dyDescent="0.35">
      <c r="A6" s="11">
        <v>45425</v>
      </c>
      <c r="B6" t="s">
        <v>27</v>
      </c>
      <c r="C6">
        <v>140</v>
      </c>
      <c r="D6" t="s">
        <v>39</v>
      </c>
      <c r="E6" t="s">
        <v>39</v>
      </c>
      <c r="F6" t="s">
        <v>37</v>
      </c>
      <c r="G6" t="s">
        <v>41</v>
      </c>
      <c r="H6">
        <v>5.5</v>
      </c>
      <c r="I6">
        <v>3020.8</v>
      </c>
      <c r="J6" t="s">
        <v>9</v>
      </c>
      <c r="L6" t="s">
        <v>16</v>
      </c>
    </row>
    <row r="7" spans="1:13" ht="14.5" customHeight="1" x14ac:dyDescent="0.35">
      <c r="A7" s="11">
        <v>45425</v>
      </c>
      <c r="B7" t="s">
        <v>19</v>
      </c>
      <c r="C7">
        <v>150</v>
      </c>
      <c r="D7" t="s">
        <v>39</v>
      </c>
      <c r="E7" t="s">
        <v>39</v>
      </c>
      <c r="F7" t="s">
        <v>37</v>
      </c>
      <c r="G7" t="s">
        <v>42</v>
      </c>
      <c r="H7">
        <v>5.5</v>
      </c>
      <c r="I7">
        <v>3020.8</v>
      </c>
      <c r="J7" t="s">
        <v>9</v>
      </c>
      <c r="L7" t="s">
        <v>20</v>
      </c>
    </row>
    <row r="8" spans="1:13" ht="14.5" customHeight="1" x14ac:dyDescent="0.35">
      <c r="A8" s="11">
        <v>45425</v>
      </c>
      <c r="B8" t="s">
        <v>23</v>
      </c>
      <c r="C8">
        <v>160</v>
      </c>
      <c r="D8" t="s">
        <v>36</v>
      </c>
      <c r="E8" t="s">
        <v>39</v>
      </c>
      <c r="F8" t="s">
        <v>43</v>
      </c>
      <c r="G8" t="s">
        <v>44</v>
      </c>
      <c r="H8">
        <v>5.5</v>
      </c>
      <c r="I8">
        <v>3020.8</v>
      </c>
      <c r="J8" t="s">
        <v>9</v>
      </c>
      <c r="L8" t="s">
        <v>24</v>
      </c>
      <c r="M8" t="s">
        <v>40</v>
      </c>
    </row>
    <row r="9" spans="1:13" ht="14.5" customHeight="1" x14ac:dyDescent="0.35">
      <c r="A9" s="11">
        <v>45425</v>
      </c>
      <c r="B9" t="s">
        <v>25</v>
      </c>
      <c r="C9">
        <v>170</v>
      </c>
      <c r="D9" t="s">
        <v>36</v>
      </c>
      <c r="E9" t="s">
        <v>39</v>
      </c>
      <c r="F9" t="s">
        <v>43</v>
      </c>
      <c r="G9" t="s">
        <v>44</v>
      </c>
      <c r="H9">
        <v>85</v>
      </c>
      <c r="I9">
        <v>120.5</v>
      </c>
      <c r="J9" t="s">
        <v>9</v>
      </c>
      <c r="L9" t="s">
        <v>26</v>
      </c>
      <c r="M9" t="s">
        <v>40</v>
      </c>
    </row>
    <row r="10" spans="1:13" ht="14.5" customHeight="1" x14ac:dyDescent="0.35">
      <c r="A10" s="11">
        <v>45425</v>
      </c>
    </row>
    <row r="11" spans="1:13" ht="14.5" customHeight="1" x14ac:dyDescent="0.35">
      <c r="A11" s="11">
        <v>45425</v>
      </c>
    </row>
    <row r="12" spans="1:13" ht="14.5" customHeight="1" x14ac:dyDescent="0.35">
      <c r="A12" s="11">
        <v>45425</v>
      </c>
      <c r="B12" t="s">
        <v>25</v>
      </c>
      <c r="C12">
        <v>130</v>
      </c>
      <c r="D12" t="s">
        <v>36</v>
      </c>
      <c r="E12" t="s">
        <v>39</v>
      </c>
      <c r="F12" t="s">
        <v>43</v>
      </c>
      <c r="G12" t="s">
        <v>44</v>
      </c>
      <c r="H12">
        <v>85</v>
      </c>
      <c r="I12">
        <v>120.5</v>
      </c>
      <c r="J12" t="s">
        <v>9</v>
      </c>
      <c r="L12" t="s">
        <v>26</v>
      </c>
      <c r="M12" t="s">
        <v>40</v>
      </c>
    </row>
    <row r="13" spans="1:13" ht="14.5" customHeight="1" x14ac:dyDescent="0.35">
      <c r="A13" s="11">
        <v>45426</v>
      </c>
      <c r="B13" t="s">
        <v>12</v>
      </c>
      <c r="C13">
        <v>100</v>
      </c>
      <c r="D13" t="s">
        <v>36</v>
      </c>
      <c r="E13" t="s">
        <v>36</v>
      </c>
      <c r="F13" t="s">
        <v>37</v>
      </c>
      <c r="G13" t="s">
        <v>38</v>
      </c>
      <c r="H13">
        <v>90</v>
      </c>
      <c r="I13">
        <v>150</v>
      </c>
      <c r="J13" t="s">
        <v>9</v>
      </c>
      <c r="L13" s="32" t="s">
        <v>10</v>
      </c>
      <c r="M13" t="s">
        <v>40</v>
      </c>
    </row>
    <row r="14" spans="1:13" ht="14.5" customHeight="1" x14ac:dyDescent="0.35">
      <c r="A14" s="11">
        <v>45426</v>
      </c>
      <c r="B14" t="s">
        <v>14</v>
      </c>
      <c r="C14">
        <v>100</v>
      </c>
      <c r="D14" t="s">
        <v>36</v>
      </c>
      <c r="E14" t="s">
        <v>36</v>
      </c>
      <c r="F14" t="s">
        <v>37</v>
      </c>
      <c r="G14" t="s">
        <v>38</v>
      </c>
      <c r="H14">
        <v>90</v>
      </c>
      <c r="I14">
        <v>150</v>
      </c>
      <c r="J14" t="s">
        <v>9</v>
      </c>
      <c r="L14" s="32" t="s">
        <v>10</v>
      </c>
    </row>
    <row r="15" spans="1:13" ht="14.5" customHeight="1" x14ac:dyDescent="0.35">
      <c r="A15" s="11">
        <v>45426</v>
      </c>
      <c r="B15" t="s">
        <v>13</v>
      </c>
      <c r="C15">
        <v>100</v>
      </c>
      <c r="D15" t="s">
        <v>36</v>
      </c>
      <c r="E15" t="s">
        <v>36</v>
      </c>
      <c r="F15" t="s">
        <v>37</v>
      </c>
      <c r="G15" t="s">
        <v>38</v>
      </c>
      <c r="H15">
        <v>90</v>
      </c>
      <c r="I15">
        <v>150</v>
      </c>
      <c r="J15" t="s">
        <v>9</v>
      </c>
      <c r="L15" s="32" t="s">
        <v>10</v>
      </c>
      <c r="M15" t="s">
        <v>40</v>
      </c>
    </row>
    <row r="16" spans="1:13" ht="14.5" customHeight="1" x14ac:dyDescent="0.35">
      <c r="A16" s="11">
        <v>45427</v>
      </c>
      <c r="B16" t="s">
        <v>8</v>
      </c>
      <c r="C16">
        <v>100</v>
      </c>
      <c r="D16" t="s">
        <v>36</v>
      </c>
      <c r="E16" t="s">
        <v>36</v>
      </c>
      <c r="F16" t="s">
        <v>37</v>
      </c>
      <c r="G16" t="s">
        <v>38</v>
      </c>
      <c r="H16">
        <v>90</v>
      </c>
      <c r="I16">
        <v>150</v>
      </c>
      <c r="J16" t="s">
        <v>9</v>
      </c>
      <c r="L16" s="32" t="s">
        <v>10</v>
      </c>
      <c r="M16"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U57"/>
  <sheetViews>
    <sheetView workbookViewId="0">
      <selection activeCell="H1" sqref="H1"/>
    </sheetView>
  </sheetViews>
  <sheetFormatPr defaultRowHeight="14.5" x14ac:dyDescent="0.35"/>
  <cols>
    <col min="2" max="2" width="10.90625" customWidth="1"/>
    <col min="9" max="9" width="11.1796875" customWidth="1"/>
    <col min="10" max="10" width="12.54296875" customWidth="1"/>
    <col min="11" max="11" width="19.54296875" customWidth="1"/>
  </cols>
  <sheetData>
    <row r="1" spans="1:21" x14ac:dyDescent="0.35">
      <c r="A1" s="26" t="s">
        <v>3</v>
      </c>
      <c r="B1" s="27" t="s">
        <v>2</v>
      </c>
      <c r="C1" s="28" t="s">
        <v>28</v>
      </c>
      <c r="D1" s="28" t="s">
        <v>45</v>
      </c>
      <c r="E1" s="28" t="s">
        <v>46</v>
      </c>
      <c r="F1" s="28" t="s">
        <v>47</v>
      </c>
      <c r="G1" s="29" t="s">
        <v>48</v>
      </c>
      <c r="H1" s="26" t="s">
        <v>49</v>
      </c>
      <c r="I1" s="26" t="s">
        <v>50</v>
      </c>
      <c r="J1" s="26" t="s">
        <v>51</v>
      </c>
      <c r="K1" s="26" t="s">
        <v>52</v>
      </c>
      <c r="L1" s="26" t="s">
        <v>53</v>
      </c>
      <c r="M1" s="26" t="s">
        <v>54</v>
      </c>
      <c r="N1" s="28" t="s">
        <v>55</v>
      </c>
      <c r="O1" s="4" t="s">
        <v>56</v>
      </c>
      <c r="P1" s="4" t="s">
        <v>57</v>
      </c>
      <c r="Q1" s="28" t="s">
        <v>58</v>
      </c>
      <c r="R1" s="28" t="s">
        <v>59</v>
      </c>
      <c r="S1" s="28" t="s">
        <v>60</v>
      </c>
      <c r="T1" s="28" t="s">
        <v>61</v>
      </c>
      <c r="U1" s="25" t="s">
        <v>62</v>
      </c>
    </row>
    <row r="2" spans="1:21" x14ac:dyDescent="0.35">
      <c r="A2" s="5"/>
      <c r="B2" s="3"/>
      <c r="C2" s="4"/>
      <c r="D2" s="4"/>
      <c r="E2" s="4"/>
      <c r="F2" s="4"/>
      <c r="G2" s="29" t="e">
        <f>(Table2[[#This Row],[Target Price]]-Table2[[#This Row],[Target Entry]])/(Table2[[#This Row],[Target Entry]]-Table2[[#This Row],[Stop]])</f>
        <v>#DIV/0!</v>
      </c>
      <c r="H2" s="2"/>
      <c r="I2" s="2"/>
      <c r="J2" s="2"/>
      <c r="K2" s="2"/>
      <c r="L2" s="2"/>
      <c r="M2" s="2"/>
      <c r="N2" s="2"/>
      <c r="O2" s="4">
        <f>IF(Table2[[#This Row],[Trade Direction]]="Short",Table2[[#This Row],[Target Entry]]-Table2[[#This Row],[Target Price]],Table2[[#This Row],[Target Price]]-Table2[[#This Row],[Target Entry]])*Table2[[#This Row],[Intended Position]]</f>
        <v>0</v>
      </c>
      <c r="P2" s="4">
        <f>IF(Table2[[#This Row],[Trade Direction]]="Short",Table2[[#This Row],[Target Entry]]-Table2[[#This Row],[Stop]],Table2[[#This Row],[Stop]]-Table2[[#This Row],[Target Entry]])*Table2[[#This Row],[Intended Position]]</f>
        <v>0</v>
      </c>
      <c r="Q2" s="2"/>
      <c r="R2" s="2"/>
      <c r="S2" s="2"/>
      <c r="T2" s="2"/>
      <c r="U2" s="15"/>
    </row>
    <row r="3" spans="1:21" x14ac:dyDescent="0.35">
      <c r="A3" s="5"/>
      <c r="B3" s="3"/>
      <c r="C3" s="4"/>
      <c r="D3" s="4"/>
      <c r="E3" s="4"/>
      <c r="F3" s="4"/>
      <c r="G3" s="29" t="e">
        <f>(Table2[[#This Row],[Target Price]]-Table2[[#This Row],[Target Entry]])/(Table2[[#This Row],[Target Entry]]-Table2[[#This Row],[Stop]])</f>
        <v>#DIV/0!</v>
      </c>
      <c r="H3" s="2"/>
      <c r="I3" s="2"/>
      <c r="J3" s="2"/>
      <c r="K3" s="2"/>
      <c r="L3" s="2"/>
      <c r="M3" s="2"/>
      <c r="N3" s="2"/>
      <c r="O3" s="4">
        <f>IF(Table2[[#This Row],[Trade Direction]]="Short",Table2[[#This Row],[Target Entry]]-Table2[[#This Row],[Target Price]],Table2[[#This Row],[Target Price]]-Table2[[#This Row],[Target Entry]])*Table2[[#This Row],[Intended Position]]</f>
        <v>0</v>
      </c>
      <c r="P3" s="4">
        <f>IF(Table2[[#This Row],[Trade Direction]]="Short",Table2[[#This Row],[Target Entry]]-Table2[[#This Row],[Stop]],Table2[[#This Row],[Stop]]-Table2[[#This Row],[Target Entry]])*Table2[[#This Row],[Intended Position]]</f>
        <v>0</v>
      </c>
      <c r="Q3" s="2"/>
      <c r="R3" s="2"/>
      <c r="S3" s="2"/>
      <c r="T3" s="2"/>
      <c r="U3" s="15"/>
    </row>
    <row r="4" spans="1:21" x14ac:dyDescent="0.35">
      <c r="A4" s="5"/>
      <c r="B4" s="3"/>
      <c r="C4" s="4"/>
      <c r="D4" s="4"/>
      <c r="E4" s="4"/>
      <c r="F4" s="4"/>
      <c r="G4" s="29" t="e">
        <f>(Table2[[#This Row],[Target Price]]-Table2[[#This Row],[Target Entry]])/(Table2[[#This Row],[Target Entry]]-Table2[[#This Row],[Stop]])</f>
        <v>#DIV/0!</v>
      </c>
      <c r="H4" s="2"/>
      <c r="I4" s="2"/>
      <c r="J4" s="2"/>
      <c r="K4" s="2"/>
      <c r="L4" s="2"/>
      <c r="M4" s="2"/>
      <c r="N4" s="2"/>
      <c r="O4" s="4">
        <f>IF(Table2[[#This Row],[Trade Direction]]="Short",Table2[[#This Row],[Target Entry]]-Table2[[#This Row],[Target Price]],Table2[[#This Row],[Target Price]]-Table2[[#This Row],[Target Entry]])*Table2[[#This Row],[Intended Position]]</f>
        <v>0</v>
      </c>
      <c r="P4" s="4">
        <f>IF(Table2[[#This Row],[Trade Direction]]="Short",Table2[[#This Row],[Target Entry]]-Table2[[#This Row],[Stop]],Table2[[#This Row],[Stop]]-Table2[[#This Row],[Target Entry]])*Table2[[#This Row],[Intended Position]]</f>
        <v>0</v>
      </c>
      <c r="Q4" s="2"/>
      <c r="R4" s="2"/>
      <c r="S4" s="2"/>
      <c r="T4" s="2"/>
      <c r="U4" s="15"/>
    </row>
    <row r="5" spans="1:21" x14ac:dyDescent="0.35">
      <c r="A5" s="5"/>
      <c r="B5" s="3"/>
      <c r="C5" s="4"/>
      <c r="D5" s="4"/>
      <c r="E5" s="4"/>
      <c r="F5" s="4"/>
      <c r="G5" s="29" t="e">
        <f>(Table2[[#This Row],[Target Price]]-Table2[[#This Row],[Target Entry]])/(Table2[[#This Row],[Target Entry]]-Table2[[#This Row],[Stop]])</f>
        <v>#DIV/0!</v>
      </c>
      <c r="H5" s="2"/>
      <c r="I5" s="2"/>
      <c r="J5" s="2"/>
      <c r="K5" s="2"/>
      <c r="L5" s="2"/>
      <c r="M5" s="2"/>
      <c r="N5" s="2"/>
      <c r="O5" s="4">
        <f>IF(Table2[[#This Row],[Trade Direction]]="Short",Table2[[#This Row],[Target Entry]]-Table2[[#This Row],[Target Price]],Table2[[#This Row],[Target Price]]-Table2[[#This Row],[Target Entry]])*Table2[[#This Row],[Intended Position]]</f>
        <v>0</v>
      </c>
      <c r="P5" s="4">
        <f>IF(Table2[[#This Row],[Trade Direction]]="Short",Table2[[#This Row],[Target Entry]]-Table2[[#This Row],[Stop]],Table2[[#This Row],[Stop]]-Table2[[#This Row],[Target Entry]])*Table2[[#This Row],[Intended Position]]</f>
        <v>0</v>
      </c>
      <c r="Q5" s="2"/>
      <c r="R5" s="2"/>
      <c r="S5" s="2"/>
      <c r="T5" s="2"/>
      <c r="U5" s="15"/>
    </row>
    <row r="6" spans="1:21" x14ac:dyDescent="0.35">
      <c r="A6" s="5"/>
      <c r="B6" s="3"/>
      <c r="C6" s="4"/>
      <c r="D6" s="4"/>
      <c r="E6" s="4"/>
      <c r="F6" s="4"/>
      <c r="G6" s="29" t="e">
        <f>(Table2[[#This Row],[Target Price]]-Table2[[#This Row],[Target Entry]])/(Table2[[#This Row],[Target Entry]]-Table2[[#This Row],[Stop]])</f>
        <v>#DIV/0!</v>
      </c>
      <c r="H6" s="2"/>
      <c r="I6" s="2"/>
      <c r="J6" s="2"/>
      <c r="K6" s="2"/>
      <c r="L6" s="2"/>
      <c r="M6" s="2"/>
      <c r="N6" s="2"/>
      <c r="O6" s="4">
        <f>IF(Table2[[#This Row],[Trade Direction]]="Short",Table2[[#This Row],[Target Entry]]-Table2[[#This Row],[Target Price]],Table2[[#This Row],[Target Price]]-Table2[[#This Row],[Target Entry]])*Table2[[#This Row],[Intended Position]]</f>
        <v>0</v>
      </c>
      <c r="P6" s="4">
        <f>IF(Table2[[#This Row],[Trade Direction]]="Short",Table2[[#This Row],[Target Entry]]-Table2[[#This Row],[Stop]],Table2[[#This Row],[Stop]]-Table2[[#This Row],[Target Entry]])*Table2[[#This Row],[Intended Position]]</f>
        <v>0</v>
      </c>
      <c r="Q6" s="2"/>
      <c r="R6" s="2"/>
      <c r="S6" s="2"/>
      <c r="T6" s="2"/>
      <c r="U6" s="15"/>
    </row>
    <row r="7" spans="1:21" x14ac:dyDescent="0.35">
      <c r="A7" s="5"/>
      <c r="B7" s="3"/>
      <c r="C7" s="4"/>
      <c r="D7" s="4"/>
      <c r="E7" s="4"/>
      <c r="F7" s="4"/>
      <c r="G7" s="29" t="e">
        <f>(Table2[[#This Row],[Target Price]]-Table2[[#This Row],[Target Entry]])/(Table2[[#This Row],[Target Entry]]-Table2[[#This Row],[Stop]])</f>
        <v>#DIV/0!</v>
      </c>
      <c r="H7" s="2"/>
      <c r="I7" s="2"/>
      <c r="J7" s="2"/>
      <c r="K7" s="2"/>
      <c r="L7" s="2"/>
      <c r="M7" s="2"/>
      <c r="N7" s="2"/>
      <c r="O7" s="4">
        <f>IF(Table2[[#This Row],[Trade Direction]]="Short",Table2[[#This Row],[Target Entry]]-Table2[[#This Row],[Target Price]],Table2[[#This Row],[Target Price]]-Table2[[#This Row],[Target Entry]])*Table2[[#This Row],[Intended Position]]</f>
        <v>0</v>
      </c>
      <c r="P7" s="4">
        <f>IF(Table2[[#This Row],[Trade Direction]]="Short",Table2[[#This Row],[Target Entry]]-Table2[[#This Row],[Stop]],Table2[[#This Row],[Stop]]-Table2[[#This Row],[Target Entry]])*Table2[[#This Row],[Intended Position]]</f>
        <v>0</v>
      </c>
      <c r="Q7" s="2"/>
      <c r="R7" s="2"/>
      <c r="S7" s="2"/>
      <c r="T7" s="2"/>
      <c r="U7" s="15"/>
    </row>
    <row r="8" spans="1:21" x14ac:dyDescent="0.35">
      <c r="A8" s="5"/>
      <c r="B8" s="3"/>
      <c r="C8" s="4"/>
      <c r="D8" s="4"/>
      <c r="E8" s="4"/>
      <c r="F8" s="4"/>
      <c r="G8" s="29" t="e">
        <f>(Table2[[#This Row],[Target Price]]-Table2[[#This Row],[Target Entry]])/(Table2[[#This Row],[Target Entry]]-Table2[[#This Row],[Stop]])</f>
        <v>#DIV/0!</v>
      </c>
      <c r="H8" s="2"/>
      <c r="I8" s="2"/>
      <c r="J8" s="2"/>
      <c r="K8" s="2"/>
      <c r="L8" s="2"/>
      <c r="M8" s="2"/>
      <c r="N8" s="2"/>
      <c r="O8" s="4">
        <f>IF(Table2[[#This Row],[Trade Direction]]="Short",Table2[[#This Row],[Target Entry]]-Table2[[#This Row],[Target Price]],Table2[[#This Row],[Target Price]]-Table2[[#This Row],[Target Entry]])*Table2[[#This Row],[Intended Position]]</f>
        <v>0</v>
      </c>
      <c r="P8" s="4">
        <f>IF(Table2[[#This Row],[Trade Direction]]="Short",Table2[[#This Row],[Target Entry]]-Table2[[#This Row],[Stop]],Table2[[#This Row],[Stop]]-Table2[[#This Row],[Target Entry]])*Table2[[#This Row],[Intended Position]]</f>
        <v>0</v>
      </c>
      <c r="Q8" s="2"/>
      <c r="R8" s="2"/>
      <c r="S8" s="2"/>
      <c r="T8" s="2"/>
      <c r="U8" s="15"/>
    </row>
    <row r="9" spans="1:21" x14ac:dyDescent="0.35">
      <c r="A9" s="5"/>
      <c r="B9" s="3"/>
      <c r="C9" s="4"/>
      <c r="D9" s="4"/>
      <c r="E9" s="4"/>
      <c r="F9" s="4"/>
      <c r="G9" s="29" t="e">
        <f>(Table2[[#This Row],[Target Price]]-Table2[[#This Row],[Target Entry]])/(Table2[[#This Row],[Target Entry]]-Table2[[#This Row],[Stop]])</f>
        <v>#DIV/0!</v>
      </c>
      <c r="H9" s="2"/>
      <c r="I9" s="2"/>
      <c r="J9" s="2"/>
      <c r="K9" s="2"/>
      <c r="L9" s="2"/>
      <c r="M9" s="2"/>
      <c r="N9" s="2"/>
      <c r="O9" s="4">
        <f>IF(Table2[[#This Row],[Trade Direction]]="Short",Table2[[#This Row],[Target Entry]]-Table2[[#This Row],[Target Price]],Table2[[#This Row],[Target Price]]-Table2[[#This Row],[Target Entry]])*Table2[[#This Row],[Intended Position]]</f>
        <v>0</v>
      </c>
      <c r="P9" s="4">
        <f>IF(Table2[[#This Row],[Trade Direction]]="Short",Table2[[#This Row],[Target Entry]]-Table2[[#This Row],[Stop]],Table2[[#This Row],[Stop]]-Table2[[#This Row],[Target Entry]])*Table2[[#This Row],[Intended Position]]</f>
        <v>0</v>
      </c>
      <c r="Q9" s="2"/>
      <c r="R9" s="2"/>
      <c r="S9" s="2"/>
      <c r="T9" s="2"/>
      <c r="U9" s="15"/>
    </row>
    <row r="10" spans="1:21" x14ac:dyDescent="0.35">
      <c r="A10" s="5"/>
      <c r="B10" s="3"/>
      <c r="C10" s="4"/>
      <c r="D10" s="4"/>
      <c r="E10" s="4"/>
      <c r="F10" s="4"/>
      <c r="G10" s="29" t="e">
        <f>(Table2[[#This Row],[Target Price]]-Table2[[#This Row],[Target Entry]])/(Table2[[#This Row],[Target Entry]]-Table2[[#This Row],[Stop]])</f>
        <v>#DIV/0!</v>
      </c>
      <c r="H10" s="2"/>
      <c r="I10" s="2"/>
      <c r="J10" s="2"/>
      <c r="K10" s="2"/>
      <c r="L10" s="2"/>
      <c r="M10" s="2"/>
      <c r="N10" s="2"/>
      <c r="O10" s="4">
        <f>IF(Table2[[#This Row],[Trade Direction]]="Short",Table2[[#This Row],[Target Entry]]-Table2[[#This Row],[Target Price]],Table2[[#This Row],[Target Price]]-Table2[[#This Row],[Target Entry]])*Table2[[#This Row],[Intended Position]]</f>
        <v>0</v>
      </c>
      <c r="P10" s="4">
        <f>IF(Table2[[#This Row],[Trade Direction]]="Short",Table2[[#This Row],[Target Entry]]-Table2[[#This Row],[Stop]],Table2[[#This Row],[Stop]]-Table2[[#This Row],[Target Entry]])*Table2[[#This Row],[Intended Position]]</f>
        <v>0</v>
      </c>
      <c r="Q10" s="2"/>
      <c r="R10" s="2"/>
      <c r="S10" s="2"/>
      <c r="T10" s="2"/>
      <c r="U10" s="15"/>
    </row>
    <row r="11" spans="1:21" x14ac:dyDescent="0.35">
      <c r="A11" s="5"/>
      <c r="B11" s="3"/>
      <c r="C11" s="4"/>
      <c r="D11" s="4"/>
      <c r="E11" s="4"/>
      <c r="F11" s="4"/>
      <c r="G11" s="29" t="e">
        <f>(Table2[[#This Row],[Target Price]]-Table2[[#This Row],[Target Entry]])/(Table2[[#This Row],[Target Entry]]-Table2[[#This Row],[Stop]])</f>
        <v>#DIV/0!</v>
      </c>
      <c r="H11" s="2"/>
      <c r="I11" s="2"/>
      <c r="J11" s="2"/>
      <c r="K11" s="2"/>
      <c r="L11" s="2"/>
      <c r="M11" s="2"/>
      <c r="N11" s="2"/>
      <c r="O11" s="4">
        <f>IF(Table2[[#This Row],[Trade Direction]]="Short",Table2[[#This Row],[Target Entry]]-Table2[[#This Row],[Target Price]],Table2[[#This Row],[Target Price]]-Table2[[#This Row],[Target Entry]])*Table2[[#This Row],[Intended Position]]</f>
        <v>0</v>
      </c>
      <c r="P11" s="4">
        <f>IF(Table2[[#This Row],[Trade Direction]]="Short",Table2[[#This Row],[Target Entry]]-Table2[[#This Row],[Stop]],Table2[[#This Row],[Stop]]-Table2[[#This Row],[Target Entry]])*Table2[[#This Row],[Intended Position]]</f>
        <v>0</v>
      </c>
      <c r="Q11" s="2"/>
      <c r="R11" s="2"/>
      <c r="S11" s="2"/>
      <c r="T11" s="2"/>
      <c r="U11" s="15"/>
    </row>
    <row r="12" spans="1:21" x14ac:dyDescent="0.35">
      <c r="A12" s="5"/>
      <c r="B12" s="3"/>
      <c r="C12" s="4"/>
      <c r="D12" s="4"/>
      <c r="E12" s="4"/>
      <c r="F12" s="4"/>
      <c r="G12" s="29" t="e">
        <f>(Table2[[#This Row],[Target Price]]-Table2[[#This Row],[Target Entry]])/(Table2[[#This Row],[Target Entry]]-Table2[[#This Row],[Stop]])</f>
        <v>#DIV/0!</v>
      </c>
      <c r="H12" s="2"/>
      <c r="I12" s="2"/>
      <c r="J12" s="2"/>
      <c r="K12" s="2"/>
      <c r="L12" s="2"/>
      <c r="M12" s="2"/>
      <c r="N12" s="2"/>
      <c r="O12" s="4">
        <f>IF(Table2[[#This Row],[Trade Direction]]="Short",Table2[[#This Row],[Target Entry]]-Table2[[#This Row],[Target Price]],Table2[[#This Row],[Target Price]]-Table2[[#This Row],[Target Entry]])*Table2[[#This Row],[Intended Position]]</f>
        <v>0</v>
      </c>
      <c r="P12" s="4">
        <f>IF(Table2[[#This Row],[Trade Direction]]="Short",Table2[[#This Row],[Target Entry]]-Table2[[#This Row],[Stop]],Table2[[#This Row],[Stop]]-Table2[[#This Row],[Target Entry]])*Table2[[#This Row],[Intended Position]]</f>
        <v>0</v>
      </c>
      <c r="Q12" s="2"/>
      <c r="R12" s="2"/>
      <c r="S12" s="2"/>
      <c r="T12" s="2"/>
      <c r="U12" s="15"/>
    </row>
    <row r="13" spans="1:21" x14ac:dyDescent="0.35">
      <c r="A13" s="5"/>
      <c r="B13" s="3"/>
      <c r="C13" s="4"/>
      <c r="D13" s="4"/>
      <c r="E13" s="4"/>
      <c r="F13" s="4"/>
      <c r="G13" s="29" t="e">
        <f>(Table2[[#This Row],[Target Price]]-Table2[[#This Row],[Target Entry]])/(Table2[[#This Row],[Target Entry]]-Table2[[#This Row],[Stop]])</f>
        <v>#DIV/0!</v>
      </c>
      <c r="H13" s="2"/>
      <c r="I13" s="2"/>
      <c r="J13" s="2"/>
      <c r="K13" s="2"/>
      <c r="L13" s="2"/>
      <c r="M13" s="2"/>
      <c r="N13" s="2"/>
      <c r="O13" s="4">
        <f>IF(Table2[[#This Row],[Trade Direction]]="Short",Table2[[#This Row],[Target Entry]]-Table2[[#This Row],[Target Price]],Table2[[#This Row],[Target Price]]-Table2[[#This Row],[Target Entry]])*Table2[[#This Row],[Intended Position]]</f>
        <v>0</v>
      </c>
      <c r="P13" s="4">
        <f>IF(Table2[[#This Row],[Trade Direction]]="Short",Table2[[#This Row],[Target Entry]]-Table2[[#This Row],[Stop]],Table2[[#This Row],[Stop]]-Table2[[#This Row],[Target Entry]])*Table2[[#This Row],[Intended Position]]</f>
        <v>0</v>
      </c>
      <c r="Q13" s="2"/>
      <c r="R13" s="2"/>
      <c r="S13" s="2"/>
      <c r="T13" s="2"/>
      <c r="U13" s="15"/>
    </row>
    <row r="14" spans="1:21" x14ac:dyDescent="0.35">
      <c r="A14" s="5"/>
      <c r="B14" s="3"/>
      <c r="C14" s="4"/>
      <c r="D14" s="4"/>
      <c r="E14" s="4"/>
      <c r="F14" s="4"/>
      <c r="G14" s="29" t="e">
        <f>(Table2[[#This Row],[Target Price]]-Table2[[#This Row],[Target Entry]])/(Table2[[#This Row],[Target Entry]]-Table2[[#This Row],[Stop]])</f>
        <v>#DIV/0!</v>
      </c>
      <c r="H14" s="2"/>
      <c r="I14" s="2"/>
      <c r="J14" s="2"/>
      <c r="K14" s="2"/>
      <c r="L14" s="2"/>
      <c r="M14" s="2"/>
      <c r="N14" s="2"/>
      <c r="O14" s="4">
        <f>IF(Table2[[#This Row],[Trade Direction]]="Short",Table2[[#This Row],[Target Entry]]-Table2[[#This Row],[Target Price]],Table2[[#This Row],[Target Price]]-Table2[[#This Row],[Target Entry]])*Table2[[#This Row],[Intended Position]]</f>
        <v>0</v>
      </c>
      <c r="P14" s="4">
        <f>IF(Table2[[#This Row],[Trade Direction]]="Short",Table2[[#This Row],[Target Entry]]-Table2[[#This Row],[Stop]],Table2[[#This Row],[Stop]]-Table2[[#This Row],[Target Entry]])*Table2[[#This Row],[Intended Position]]</f>
        <v>0</v>
      </c>
      <c r="Q14" s="2"/>
      <c r="R14" s="2"/>
      <c r="S14" s="2"/>
      <c r="T14" s="2"/>
      <c r="U14" s="15"/>
    </row>
    <row r="15" spans="1:21" x14ac:dyDescent="0.35">
      <c r="A15" s="5"/>
      <c r="B15" s="3"/>
      <c r="C15" s="4"/>
      <c r="D15" s="4"/>
      <c r="E15" s="4"/>
      <c r="F15" s="4"/>
      <c r="G15" s="29" t="e">
        <f>(Table2[[#This Row],[Target Price]]-Table2[[#This Row],[Target Entry]])/(Table2[[#This Row],[Target Entry]]-Table2[[#This Row],[Stop]])</f>
        <v>#DIV/0!</v>
      </c>
      <c r="H15" s="2"/>
      <c r="I15" s="2"/>
      <c r="J15" s="2"/>
      <c r="K15" s="2"/>
      <c r="L15" s="2"/>
      <c r="M15" s="2"/>
      <c r="N15" s="2"/>
      <c r="O15" s="4">
        <f>IF(Table2[[#This Row],[Trade Direction]]="Short",Table2[[#This Row],[Target Entry]]-Table2[[#This Row],[Target Price]],Table2[[#This Row],[Target Price]]-Table2[[#This Row],[Target Entry]])*Table2[[#This Row],[Intended Position]]</f>
        <v>0</v>
      </c>
      <c r="P15" s="4">
        <f>IF(Table2[[#This Row],[Trade Direction]]="Short",Table2[[#This Row],[Target Entry]]-Table2[[#This Row],[Stop]],Table2[[#This Row],[Stop]]-Table2[[#This Row],[Target Entry]])*Table2[[#This Row],[Intended Position]]</f>
        <v>0</v>
      </c>
      <c r="Q15" s="2"/>
      <c r="R15" s="2"/>
      <c r="S15" s="2"/>
      <c r="T15" s="2"/>
      <c r="U15" s="15"/>
    </row>
    <row r="16" spans="1:21" x14ac:dyDescent="0.35">
      <c r="A16" s="5"/>
      <c r="B16" s="3"/>
      <c r="C16" s="4"/>
      <c r="D16" s="4"/>
      <c r="E16" s="4"/>
      <c r="F16" s="4"/>
      <c r="G16" s="29" t="e">
        <f>(Table2[[#This Row],[Target Price]]-Table2[[#This Row],[Target Entry]])/(Table2[[#This Row],[Target Entry]]-Table2[[#This Row],[Stop]])</f>
        <v>#DIV/0!</v>
      </c>
      <c r="H16" s="2"/>
      <c r="I16" s="2"/>
      <c r="J16" s="2"/>
      <c r="K16" s="2"/>
      <c r="L16" s="2"/>
      <c r="M16" s="2"/>
      <c r="N16" s="2"/>
      <c r="O16" s="4">
        <f>IF(Table2[[#This Row],[Trade Direction]]="Short",Table2[[#This Row],[Target Entry]]-Table2[[#This Row],[Target Price]],Table2[[#This Row],[Target Price]]-Table2[[#This Row],[Target Entry]])*Table2[[#This Row],[Intended Position]]</f>
        <v>0</v>
      </c>
      <c r="P16" s="4">
        <f>IF(Table2[[#This Row],[Trade Direction]]="Short",Table2[[#This Row],[Target Entry]]-Table2[[#This Row],[Stop]],Table2[[#This Row],[Stop]]-Table2[[#This Row],[Target Entry]])*Table2[[#This Row],[Intended Position]]</f>
        <v>0</v>
      </c>
      <c r="Q16" s="2"/>
      <c r="R16" s="2"/>
      <c r="S16" s="2"/>
      <c r="T16" s="2"/>
      <c r="U16" s="15"/>
    </row>
    <row r="17" spans="1:21" x14ac:dyDescent="0.35">
      <c r="A17" s="5"/>
      <c r="B17" s="3"/>
      <c r="C17" s="4"/>
      <c r="D17" s="4"/>
      <c r="E17" s="4"/>
      <c r="F17" s="4"/>
      <c r="G17" s="29" t="e">
        <f>(Table2[[#This Row],[Target Price]]-Table2[[#This Row],[Target Entry]])/(Table2[[#This Row],[Target Entry]]-Table2[[#This Row],[Stop]])</f>
        <v>#DIV/0!</v>
      </c>
      <c r="H17" s="2"/>
      <c r="I17" s="2"/>
      <c r="J17" s="2"/>
      <c r="K17" s="2"/>
      <c r="L17" s="2"/>
      <c r="M17" s="2"/>
      <c r="N17" s="2"/>
      <c r="O17" s="4">
        <f>IF(Table2[[#This Row],[Trade Direction]]="Short",Table2[[#This Row],[Target Entry]]-Table2[[#This Row],[Target Price]],Table2[[#This Row],[Target Price]]-Table2[[#This Row],[Target Entry]])*Table2[[#This Row],[Intended Position]]</f>
        <v>0</v>
      </c>
      <c r="P17" s="4">
        <f>IF(Table2[[#This Row],[Trade Direction]]="Short",Table2[[#This Row],[Target Entry]]-Table2[[#This Row],[Stop]],Table2[[#This Row],[Stop]]-Table2[[#This Row],[Target Entry]])*Table2[[#This Row],[Intended Position]]</f>
        <v>0</v>
      </c>
      <c r="Q17" s="2"/>
      <c r="R17" s="2"/>
      <c r="S17" s="2"/>
      <c r="T17" s="2"/>
      <c r="U17" s="15"/>
    </row>
    <row r="18" spans="1:21" x14ac:dyDescent="0.35">
      <c r="A18" s="5"/>
      <c r="B18" s="3"/>
      <c r="C18" s="4"/>
      <c r="D18" s="4"/>
      <c r="E18" s="4"/>
      <c r="F18" s="4"/>
      <c r="G18" s="29" t="e">
        <f>(Table2[[#This Row],[Target Price]]-Table2[[#This Row],[Target Entry]])/(Table2[[#This Row],[Target Entry]]-Table2[[#This Row],[Stop]])</f>
        <v>#DIV/0!</v>
      </c>
      <c r="H18" s="2"/>
      <c r="I18" s="2"/>
      <c r="J18" s="2"/>
      <c r="K18" s="2"/>
      <c r="L18" s="2"/>
      <c r="M18" s="2"/>
      <c r="N18" s="2"/>
      <c r="O18" s="4">
        <f>IF(Table2[[#This Row],[Trade Direction]]="Short",Table2[[#This Row],[Target Entry]]-Table2[[#This Row],[Target Price]],Table2[[#This Row],[Target Price]]-Table2[[#This Row],[Target Entry]])*Table2[[#This Row],[Intended Position]]</f>
        <v>0</v>
      </c>
      <c r="P18" s="4">
        <f>IF(Table2[[#This Row],[Trade Direction]]="Short",Table2[[#This Row],[Target Entry]]-Table2[[#This Row],[Stop]],Table2[[#This Row],[Stop]]-Table2[[#This Row],[Target Entry]])*Table2[[#This Row],[Intended Position]]</f>
        <v>0</v>
      </c>
      <c r="Q18" s="2"/>
      <c r="R18" s="2"/>
      <c r="S18" s="2"/>
      <c r="T18" s="2"/>
      <c r="U18" s="15"/>
    </row>
    <row r="19" spans="1:21" x14ac:dyDescent="0.35">
      <c r="A19" s="5"/>
      <c r="B19" s="3"/>
      <c r="C19" s="4"/>
      <c r="D19" s="4"/>
      <c r="E19" s="4"/>
      <c r="F19" s="4"/>
      <c r="G19" s="29" t="e">
        <f>(Table2[[#This Row],[Target Price]]-Table2[[#This Row],[Target Entry]])/(Table2[[#This Row],[Target Entry]]-Table2[[#This Row],[Stop]])</f>
        <v>#DIV/0!</v>
      </c>
      <c r="H19" s="2"/>
      <c r="I19" s="2"/>
      <c r="J19" s="2"/>
      <c r="K19" s="2"/>
      <c r="L19" s="2"/>
      <c r="M19" s="2"/>
      <c r="N19" s="2"/>
      <c r="O19" s="4">
        <f>IF(Table2[[#This Row],[Trade Direction]]="Short",Table2[[#This Row],[Target Entry]]-Table2[[#This Row],[Target Price]],Table2[[#This Row],[Target Price]]-Table2[[#This Row],[Target Entry]])*Table2[[#This Row],[Intended Position]]</f>
        <v>0</v>
      </c>
      <c r="P19" s="4">
        <f>IF(Table2[[#This Row],[Trade Direction]]="Short",Table2[[#This Row],[Target Entry]]-Table2[[#This Row],[Stop]],Table2[[#This Row],[Stop]]-Table2[[#This Row],[Target Entry]])*Table2[[#This Row],[Intended Position]]</f>
        <v>0</v>
      </c>
      <c r="Q19" s="2"/>
      <c r="R19" s="2"/>
      <c r="S19" s="2"/>
      <c r="T19" s="2"/>
      <c r="U19" s="15"/>
    </row>
    <row r="20" spans="1:21" x14ac:dyDescent="0.35">
      <c r="A20" s="5"/>
      <c r="B20" s="3"/>
      <c r="C20" s="4"/>
      <c r="D20" s="4"/>
      <c r="E20" s="4"/>
      <c r="F20" s="4"/>
      <c r="G20" s="29" t="e">
        <f>(Table2[[#This Row],[Target Price]]-Table2[[#This Row],[Target Entry]])/(Table2[[#This Row],[Target Entry]]-Table2[[#This Row],[Stop]])</f>
        <v>#DIV/0!</v>
      </c>
      <c r="H20" s="2"/>
      <c r="I20" s="2"/>
      <c r="J20" s="2"/>
      <c r="K20" s="2"/>
      <c r="L20" s="2"/>
      <c r="M20" s="2"/>
      <c r="N20" s="2"/>
      <c r="O20" s="4">
        <f>IF(Table2[[#This Row],[Trade Direction]]="Short",Table2[[#This Row],[Target Entry]]-Table2[[#This Row],[Target Price]],Table2[[#This Row],[Target Price]]-Table2[[#This Row],[Target Entry]])*Table2[[#This Row],[Intended Position]]</f>
        <v>0</v>
      </c>
      <c r="P20" s="4">
        <f>IF(Table2[[#This Row],[Trade Direction]]="Short",Table2[[#This Row],[Target Entry]]-Table2[[#This Row],[Stop]],Table2[[#This Row],[Stop]]-Table2[[#This Row],[Target Entry]])*Table2[[#This Row],[Intended Position]]</f>
        <v>0</v>
      </c>
      <c r="Q20" s="2"/>
      <c r="R20" s="2"/>
      <c r="S20" s="2"/>
      <c r="T20" s="2"/>
      <c r="U20" s="15"/>
    </row>
    <row r="21" spans="1:21" x14ac:dyDescent="0.35">
      <c r="A21" s="6"/>
      <c r="B21" s="7"/>
      <c r="C21" s="8"/>
      <c r="D21" s="8"/>
      <c r="E21" s="8"/>
      <c r="F21" s="8"/>
      <c r="G21" s="9" t="e">
        <f>(Table2[[#This Row],[Target Price]]-Table2[[#This Row],[Target Entry]])/(Table2[[#This Row],[Target Entry]]-Table2[[#This Row],[Stop]])</f>
        <v>#DIV/0!</v>
      </c>
      <c r="H21" s="10"/>
      <c r="I21" s="10"/>
      <c r="J21" s="10"/>
      <c r="K21" s="10"/>
      <c r="L21" s="10"/>
      <c r="M21" s="10"/>
      <c r="N21" s="10"/>
      <c r="O21" s="8">
        <f>IF(Table2[[#This Row],[Trade Direction]]="Short",Table2[[#This Row],[Target Entry]]-Table2[[#This Row],[Target Price]],Table2[[#This Row],[Target Price]]-Table2[[#This Row],[Target Entry]])*Table2[[#This Row],[Intended Position]]</f>
        <v>0</v>
      </c>
      <c r="P21" s="8">
        <f>IF(Table2[[#This Row],[Trade Direction]]="Short",Table2[[#This Row],[Target Entry]]-Table2[[#This Row],[Stop]],Table2[[#This Row],[Stop]]-Table2[[#This Row],[Target Entry]])*Table2[[#This Row],[Intended Position]]</f>
        <v>0</v>
      </c>
      <c r="Q21" s="10"/>
      <c r="R21" s="10"/>
      <c r="S21" s="10"/>
      <c r="T21" s="2"/>
      <c r="U21" s="15"/>
    </row>
    <row r="22" spans="1:21" x14ac:dyDescent="0.35">
      <c r="A22" s="5"/>
      <c r="B22" s="3"/>
      <c r="C22" s="4"/>
      <c r="D22" s="4"/>
      <c r="E22" s="4"/>
      <c r="F22" s="4"/>
      <c r="G22" s="29" t="e">
        <f>(Table2[[#This Row],[Target Price]]-Table2[[#This Row],[Target Entry]])/(Table2[[#This Row],[Target Entry]]-Table2[[#This Row],[Stop]])</f>
        <v>#DIV/0!</v>
      </c>
      <c r="H22" s="2"/>
      <c r="I22" s="2"/>
      <c r="J22" s="2"/>
      <c r="K22" s="2"/>
      <c r="L22" s="2"/>
      <c r="M22" s="2"/>
      <c r="N22" s="2"/>
      <c r="O22" s="4">
        <f>IF(Table2[[#This Row],[Trade Direction]]="Short",Table2[[#This Row],[Target Entry]]-Table2[[#This Row],[Target Price]],Table2[[#This Row],[Target Price]]-Table2[[#This Row],[Target Entry]])*Table2[[#This Row],[Intended Position]]</f>
        <v>0</v>
      </c>
      <c r="P22" s="4">
        <f>IF(Table2[[#This Row],[Trade Direction]]="Short",Table2[[#This Row],[Target Entry]]-Table2[[#This Row],[Stop]],Table2[[#This Row],[Stop]]-Table2[[#This Row],[Target Entry]])*Table2[[#This Row],[Intended Position]]</f>
        <v>0</v>
      </c>
      <c r="Q22" s="2"/>
      <c r="R22" s="2"/>
      <c r="S22" s="2"/>
      <c r="T22" s="2"/>
      <c r="U22" s="15"/>
    </row>
    <row r="23" spans="1:21" x14ac:dyDescent="0.35">
      <c r="A23" s="5"/>
      <c r="B23" s="3"/>
      <c r="C23" s="4"/>
      <c r="D23" s="4"/>
      <c r="E23" s="4"/>
      <c r="F23" s="4"/>
      <c r="G23" s="29" t="e">
        <f>(Table2[[#This Row],[Target Price]]-Table2[[#This Row],[Target Entry]])/(Table2[[#This Row],[Target Entry]]-Table2[[#This Row],[Stop]])</f>
        <v>#DIV/0!</v>
      </c>
      <c r="H23" s="2"/>
      <c r="I23" s="2"/>
      <c r="J23" s="2"/>
      <c r="K23" s="2"/>
      <c r="L23" s="2"/>
      <c r="M23" s="2"/>
      <c r="N23" s="2"/>
      <c r="O23" s="4">
        <f>IF(Table2[[#This Row],[Trade Direction]]="Short",Table2[[#This Row],[Target Entry]]-Table2[[#This Row],[Target Price]],Table2[[#This Row],[Target Price]]-Table2[[#This Row],[Target Entry]])*Table2[[#This Row],[Intended Position]]</f>
        <v>0</v>
      </c>
      <c r="P23" s="4">
        <f>IF(Table2[[#This Row],[Trade Direction]]="Short",Table2[[#This Row],[Target Entry]]-Table2[[#This Row],[Stop]],Table2[[#This Row],[Stop]]-Table2[[#This Row],[Target Entry]])*Table2[[#This Row],[Intended Position]]</f>
        <v>0</v>
      </c>
      <c r="Q23" s="2"/>
      <c r="R23" s="2"/>
      <c r="S23" s="2"/>
      <c r="T23" s="2"/>
      <c r="U23" s="15"/>
    </row>
    <row r="24" spans="1:21" x14ac:dyDescent="0.35">
      <c r="A24" s="5"/>
      <c r="B24" s="3"/>
      <c r="C24" s="4"/>
      <c r="D24" s="4"/>
      <c r="E24" s="4"/>
      <c r="F24" s="4"/>
      <c r="G24" s="29" t="e">
        <f>(Table2[[#This Row],[Target Price]]-Table2[[#This Row],[Target Entry]])/(Table2[[#This Row],[Target Entry]]-Table2[[#This Row],[Stop]])</f>
        <v>#DIV/0!</v>
      </c>
      <c r="H24" s="2"/>
      <c r="I24" s="2"/>
      <c r="J24" s="2"/>
      <c r="K24" s="2"/>
      <c r="L24" s="2"/>
      <c r="M24" s="2"/>
      <c r="N24" s="2"/>
      <c r="O24" s="4">
        <f>IF(Table2[[#This Row],[Trade Direction]]="Short",Table2[[#This Row],[Target Entry]]-Table2[[#This Row],[Target Price]],Table2[[#This Row],[Target Price]]-Table2[[#This Row],[Target Entry]])*Table2[[#This Row],[Intended Position]]</f>
        <v>0</v>
      </c>
      <c r="P24" s="4">
        <f>IF(Table2[[#This Row],[Trade Direction]]="Short",Table2[[#This Row],[Target Entry]]-Table2[[#This Row],[Stop]],Table2[[#This Row],[Stop]]-Table2[[#This Row],[Target Entry]])*Table2[[#This Row],[Intended Position]]</f>
        <v>0</v>
      </c>
      <c r="Q24" s="2"/>
      <c r="R24" s="2"/>
      <c r="S24" s="2"/>
      <c r="T24" s="2"/>
      <c r="U24" s="15"/>
    </row>
    <row r="25" spans="1:21" x14ac:dyDescent="0.35">
      <c r="A25" s="5"/>
      <c r="B25" s="3"/>
      <c r="C25" s="4"/>
      <c r="D25" s="4"/>
      <c r="E25" s="4"/>
      <c r="F25" s="4"/>
      <c r="G25" s="29" t="e">
        <f>(Table2[[#This Row],[Target Price]]-Table2[[#This Row],[Target Entry]])/(Table2[[#This Row],[Target Entry]]-Table2[[#This Row],[Stop]])</f>
        <v>#DIV/0!</v>
      </c>
      <c r="H25" s="2"/>
      <c r="I25" s="2"/>
      <c r="J25" s="2"/>
      <c r="K25" s="2"/>
      <c r="L25" s="2"/>
      <c r="M25" s="2"/>
      <c r="N25" s="2"/>
      <c r="O25" s="4">
        <f>IF(Table2[[#This Row],[Trade Direction]]="Short",Table2[[#This Row],[Target Entry]]-Table2[[#This Row],[Target Price]],Table2[[#This Row],[Target Price]]-Table2[[#This Row],[Target Entry]])*Table2[[#This Row],[Intended Position]]</f>
        <v>0</v>
      </c>
      <c r="P25" s="4">
        <f>IF(Table2[[#This Row],[Trade Direction]]="Short",Table2[[#This Row],[Target Entry]]-Table2[[#This Row],[Stop]],Table2[[#This Row],[Stop]]-Table2[[#This Row],[Target Entry]])*Table2[[#This Row],[Intended Position]]</f>
        <v>0</v>
      </c>
      <c r="Q25" s="2"/>
      <c r="R25" s="2"/>
      <c r="S25" s="2"/>
      <c r="T25" s="2"/>
      <c r="U25" s="15"/>
    </row>
    <row r="26" spans="1:21" x14ac:dyDescent="0.35">
      <c r="A26" s="5"/>
      <c r="B26" s="3"/>
      <c r="C26" s="4"/>
      <c r="D26" s="4"/>
      <c r="E26" s="4"/>
      <c r="F26" s="4"/>
      <c r="G26" s="29" t="e">
        <f>(Table2[[#This Row],[Target Price]]-Table2[[#This Row],[Target Entry]])/(Table2[[#This Row],[Target Entry]]-Table2[[#This Row],[Stop]])</f>
        <v>#DIV/0!</v>
      </c>
      <c r="H26" s="2"/>
      <c r="I26" s="2"/>
      <c r="J26" s="2"/>
      <c r="K26" s="2"/>
      <c r="L26" s="2"/>
      <c r="M26" s="2"/>
      <c r="N26" s="2"/>
      <c r="O26" s="4">
        <f>IF(Table2[[#This Row],[Trade Direction]]="Short",Table2[[#This Row],[Target Entry]]-Table2[[#This Row],[Target Price]],Table2[[#This Row],[Target Price]]-Table2[[#This Row],[Target Entry]])*Table2[[#This Row],[Intended Position]]</f>
        <v>0</v>
      </c>
      <c r="P26" s="4">
        <f>IF(Table2[[#This Row],[Trade Direction]]="Short",Table2[[#This Row],[Target Entry]]-Table2[[#This Row],[Stop]],Table2[[#This Row],[Stop]]-Table2[[#This Row],[Target Entry]])*Table2[[#This Row],[Intended Position]]</f>
        <v>0</v>
      </c>
      <c r="Q26" s="2"/>
      <c r="R26" s="2"/>
      <c r="S26" s="2"/>
      <c r="T26" s="2"/>
      <c r="U26" s="15"/>
    </row>
    <row r="27" spans="1:21" x14ac:dyDescent="0.35">
      <c r="A27" s="5"/>
      <c r="B27" s="3"/>
      <c r="C27" s="4"/>
      <c r="D27" s="4"/>
      <c r="E27" s="4"/>
      <c r="F27" s="4"/>
      <c r="G27" s="29" t="e">
        <f>(Table2[[#This Row],[Target Price]]-Table2[[#This Row],[Target Entry]])/(Table2[[#This Row],[Target Entry]]-Table2[[#This Row],[Stop]])</f>
        <v>#DIV/0!</v>
      </c>
      <c r="H27" s="2"/>
      <c r="I27" s="2"/>
      <c r="J27" s="2"/>
      <c r="K27" s="2"/>
      <c r="L27" s="2"/>
      <c r="M27" s="2"/>
      <c r="N27" s="2"/>
      <c r="O27" s="4">
        <f>IF(Table2[[#This Row],[Trade Direction]]="Short",Table2[[#This Row],[Target Entry]]-Table2[[#This Row],[Target Price]],Table2[[#This Row],[Target Price]]-Table2[[#This Row],[Target Entry]])*Table2[[#This Row],[Intended Position]]</f>
        <v>0</v>
      </c>
      <c r="P27" s="4">
        <f>IF(Table2[[#This Row],[Trade Direction]]="Short",Table2[[#This Row],[Target Entry]]-Table2[[#This Row],[Stop]],Table2[[#This Row],[Stop]]-Table2[[#This Row],[Target Entry]])*Table2[[#This Row],[Intended Position]]</f>
        <v>0</v>
      </c>
      <c r="Q27" s="2"/>
      <c r="R27" s="2"/>
      <c r="S27" s="2"/>
      <c r="T27" s="2"/>
      <c r="U27" s="15"/>
    </row>
    <row r="28" spans="1:21" x14ac:dyDescent="0.35">
      <c r="A28" s="5"/>
      <c r="B28" s="3"/>
      <c r="C28" s="4"/>
      <c r="D28" s="4"/>
      <c r="E28" s="4"/>
      <c r="F28" s="4"/>
      <c r="G28" s="29" t="e">
        <f>(Table2[[#This Row],[Target Price]]-Table2[[#This Row],[Target Entry]])/(Table2[[#This Row],[Target Entry]]-Table2[[#This Row],[Stop]])</f>
        <v>#DIV/0!</v>
      </c>
      <c r="H28" s="2"/>
      <c r="I28" s="2"/>
      <c r="J28" s="2"/>
      <c r="K28" s="2"/>
      <c r="L28" s="2"/>
      <c r="M28" s="2"/>
      <c r="N28" s="2"/>
      <c r="O28" s="4">
        <f>IF(Table2[[#This Row],[Trade Direction]]="Short",Table2[[#This Row],[Target Entry]]-Table2[[#This Row],[Target Price]],Table2[[#This Row],[Target Price]]-Table2[[#This Row],[Target Entry]])*Table2[[#This Row],[Intended Position]]</f>
        <v>0</v>
      </c>
      <c r="P28" s="4">
        <f>IF(Table2[[#This Row],[Trade Direction]]="Short",Table2[[#This Row],[Target Entry]]-Table2[[#This Row],[Stop]],Table2[[#This Row],[Stop]]-Table2[[#This Row],[Target Entry]])*Table2[[#This Row],[Intended Position]]</f>
        <v>0</v>
      </c>
      <c r="Q28" s="2"/>
      <c r="R28" s="2"/>
      <c r="S28" s="2"/>
      <c r="T28" s="2"/>
      <c r="U28" s="15"/>
    </row>
    <row r="29" spans="1:21" x14ac:dyDescent="0.35">
      <c r="A29" s="5"/>
      <c r="B29" s="3"/>
      <c r="C29" s="4"/>
      <c r="D29" s="4"/>
      <c r="E29" s="4"/>
      <c r="F29" s="4"/>
      <c r="G29" s="29" t="e">
        <f>(Table2[[#This Row],[Target Price]]-Table2[[#This Row],[Target Entry]])/(Table2[[#This Row],[Target Entry]]-Table2[[#This Row],[Stop]])</f>
        <v>#DIV/0!</v>
      </c>
      <c r="H29" s="2"/>
      <c r="I29" s="2"/>
      <c r="J29" s="2"/>
      <c r="K29" s="2"/>
      <c r="L29" s="2"/>
      <c r="M29" s="2"/>
      <c r="N29" s="2"/>
      <c r="O29" s="4">
        <f>IF(Table2[[#This Row],[Trade Direction]]="Short",Table2[[#This Row],[Target Entry]]-Table2[[#This Row],[Target Price]],Table2[[#This Row],[Target Price]]-Table2[[#This Row],[Target Entry]])*Table2[[#This Row],[Intended Position]]</f>
        <v>0</v>
      </c>
      <c r="P29" s="4">
        <f>IF(Table2[[#This Row],[Trade Direction]]="Short",Table2[[#This Row],[Target Entry]]-Table2[[#This Row],[Stop]],Table2[[#This Row],[Stop]]-Table2[[#This Row],[Target Entry]])*Table2[[#This Row],[Intended Position]]</f>
        <v>0</v>
      </c>
      <c r="Q29" s="2"/>
      <c r="R29" s="2"/>
      <c r="S29" s="2"/>
      <c r="T29" s="2"/>
      <c r="U29" s="15"/>
    </row>
    <row r="30" spans="1:21" x14ac:dyDescent="0.35">
      <c r="A30" s="5"/>
      <c r="B30" s="3"/>
      <c r="C30" s="4"/>
      <c r="D30" s="4"/>
      <c r="E30" s="4"/>
      <c r="F30" s="4"/>
      <c r="G30" s="29" t="e">
        <f>(Table2[[#This Row],[Target Price]]-Table2[[#This Row],[Target Entry]])/(Table2[[#This Row],[Target Entry]]-Table2[[#This Row],[Stop]])</f>
        <v>#DIV/0!</v>
      </c>
      <c r="H30" s="2"/>
      <c r="I30" s="2"/>
      <c r="J30" s="2"/>
      <c r="K30" s="2"/>
      <c r="L30" s="2"/>
      <c r="M30" s="2"/>
      <c r="N30" s="2"/>
      <c r="O30" s="4">
        <f>IF(Table2[[#This Row],[Trade Direction]]="Short",Table2[[#This Row],[Target Entry]]-Table2[[#This Row],[Target Price]],Table2[[#This Row],[Target Price]]-Table2[[#This Row],[Target Entry]])*Table2[[#This Row],[Intended Position]]</f>
        <v>0</v>
      </c>
      <c r="P30" s="4">
        <f>IF(Table2[[#This Row],[Trade Direction]]="Short",Table2[[#This Row],[Target Entry]]-Table2[[#This Row],[Stop]],Table2[[#This Row],[Stop]]-Table2[[#This Row],[Target Entry]])*Table2[[#This Row],[Intended Position]]</f>
        <v>0</v>
      </c>
      <c r="Q30" s="2"/>
      <c r="R30" s="2"/>
      <c r="S30" s="2"/>
      <c r="T30" s="2"/>
      <c r="U30" s="15"/>
    </row>
    <row r="31" spans="1:21" x14ac:dyDescent="0.35">
      <c r="A31" s="5"/>
      <c r="B31" s="3"/>
      <c r="C31" s="4"/>
      <c r="D31" s="4"/>
      <c r="E31" s="4"/>
      <c r="F31" s="4"/>
      <c r="G31" s="29" t="e">
        <f>(Table2[[#This Row],[Target Price]]-Table2[[#This Row],[Target Entry]])/(Table2[[#This Row],[Target Entry]]-Table2[[#This Row],[Stop]])</f>
        <v>#DIV/0!</v>
      </c>
      <c r="H31" s="2"/>
      <c r="I31" s="2"/>
      <c r="J31" s="2"/>
      <c r="K31" s="2"/>
      <c r="L31" s="2"/>
      <c r="M31" s="2"/>
      <c r="N31" s="2"/>
      <c r="O31" s="4">
        <f>IF(Table2[[#This Row],[Trade Direction]]="Short",Table2[[#This Row],[Target Entry]]-Table2[[#This Row],[Target Price]],Table2[[#This Row],[Target Price]]-Table2[[#This Row],[Target Entry]])*Table2[[#This Row],[Intended Position]]</f>
        <v>0</v>
      </c>
      <c r="P31" s="4">
        <f>IF(Table2[[#This Row],[Trade Direction]]="Short",Table2[[#This Row],[Target Entry]]-Table2[[#This Row],[Stop]],Table2[[#This Row],[Stop]]-Table2[[#This Row],[Target Entry]])*Table2[[#This Row],[Intended Position]]</f>
        <v>0</v>
      </c>
      <c r="Q31" s="2"/>
      <c r="R31" s="2"/>
      <c r="S31" s="2"/>
      <c r="T31" s="2"/>
      <c r="U31" s="15"/>
    </row>
    <row r="32" spans="1:21" x14ac:dyDescent="0.35">
      <c r="A32" s="5"/>
      <c r="B32" s="3"/>
      <c r="C32" s="4"/>
      <c r="D32" s="4"/>
      <c r="E32" s="4"/>
      <c r="F32" s="4"/>
      <c r="G32" s="29" t="e">
        <f>(Table2[[#This Row],[Target Price]]-Table2[[#This Row],[Target Entry]])/(Table2[[#This Row],[Target Entry]]-Table2[[#This Row],[Stop]])</f>
        <v>#DIV/0!</v>
      </c>
      <c r="H32" s="2"/>
      <c r="I32" s="2"/>
      <c r="J32" s="2"/>
      <c r="K32" s="2"/>
      <c r="L32" s="2"/>
      <c r="M32" s="2"/>
      <c r="N32" s="2"/>
      <c r="O32" s="4">
        <f>IF(Table2[[#This Row],[Trade Direction]]="Short",Table2[[#This Row],[Target Entry]]-Table2[[#This Row],[Target Price]],Table2[[#This Row],[Target Price]]-Table2[[#This Row],[Target Entry]])*Table2[[#This Row],[Intended Position]]</f>
        <v>0</v>
      </c>
      <c r="P32" s="4">
        <f>IF(Table2[[#This Row],[Trade Direction]]="Short",Table2[[#This Row],[Target Entry]]-Table2[[#This Row],[Stop]],Table2[[#This Row],[Stop]]-Table2[[#This Row],[Target Entry]])*Table2[[#This Row],[Intended Position]]</f>
        <v>0</v>
      </c>
      <c r="Q32" s="2"/>
      <c r="R32" s="2"/>
      <c r="S32" s="2"/>
      <c r="T32" s="2"/>
      <c r="U32" s="15"/>
    </row>
    <row r="33" spans="1:21" x14ac:dyDescent="0.35">
      <c r="A33" s="5"/>
      <c r="B33" s="3"/>
      <c r="C33" s="4"/>
      <c r="D33" s="4"/>
      <c r="E33" s="4"/>
      <c r="F33" s="4"/>
      <c r="G33" s="29" t="e">
        <f>(Table2[[#This Row],[Target Price]]-Table2[[#This Row],[Target Entry]])/(Table2[[#This Row],[Target Entry]]-Table2[[#This Row],[Stop]])</f>
        <v>#DIV/0!</v>
      </c>
      <c r="H33" s="2"/>
      <c r="I33" s="2"/>
      <c r="J33" s="2"/>
      <c r="K33" s="2"/>
      <c r="L33" s="2"/>
      <c r="M33" s="2"/>
      <c r="N33" s="2"/>
      <c r="O33" s="4">
        <f>IF(Table2[[#This Row],[Trade Direction]]="Short",Table2[[#This Row],[Target Entry]]-Table2[[#This Row],[Target Price]],Table2[[#This Row],[Target Price]]-Table2[[#This Row],[Target Entry]])*Table2[[#This Row],[Intended Position]]</f>
        <v>0</v>
      </c>
      <c r="P33" s="4">
        <f>IF(Table2[[#This Row],[Trade Direction]]="Short",Table2[[#This Row],[Target Entry]]-Table2[[#This Row],[Stop]],Table2[[#This Row],[Stop]]-Table2[[#This Row],[Target Entry]])*Table2[[#This Row],[Intended Position]]</f>
        <v>0</v>
      </c>
      <c r="Q33" s="2"/>
      <c r="R33" s="2"/>
      <c r="S33" s="2"/>
      <c r="T33" s="2"/>
      <c r="U33" s="15"/>
    </row>
    <row r="34" spans="1:21" x14ac:dyDescent="0.35">
      <c r="A34" s="5"/>
      <c r="B34" s="3"/>
      <c r="C34" s="4"/>
      <c r="D34" s="4"/>
      <c r="E34" s="4"/>
      <c r="F34" s="4"/>
      <c r="G34" s="29" t="e">
        <f>(Table2[[#This Row],[Target Price]]-Table2[[#This Row],[Target Entry]])/(Table2[[#This Row],[Target Entry]]-Table2[[#This Row],[Stop]])</f>
        <v>#DIV/0!</v>
      </c>
      <c r="H34" s="2"/>
      <c r="I34" s="2"/>
      <c r="J34" s="2"/>
      <c r="K34" s="2"/>
      <c r="L34" s="2"/>
      <c r="M34" s="2"/>
      <c r="N34" s="2"/>
      <c r="O34" s="4">
        <f>IF(Table2[[#This Row],[Trade Direction]]="Short",Table2[[#This Row],[Target Entry]]-Table2[[#This Row],[Target Price]],Table2[[#This Row],[Target Price]]-Table2[[#This Row],[Target Entry]])*Table2[[#This Row],[Intended Position]]</f>
        <v>0</v>
      </c>
      <c r="P34" s="4">
        <f>IF(Table2[[#This Row],[Trade Direction]]="Short",Table2[[#This Row],[Target Entry]]-Table2[[#This Row],[Stop]],Table2[[#This Row],[Stop]]-Table2[[#This Row],[Target Entry]])*Table2[[#This Row],[Intended Position]]</f>
        <v>0</v>
      </c>
      <c r="Q34" s="2"/>
      <c r="R34" s="2"/>
      <c r="S34" s="2"/>
      <c r="T34" s="2"/>
      <c r="U34" s="15"/>
    </row>
    <row r="35" spans="1:21" x14ac:dyDescent="0.35">
      <c r="A35" s="5"/>
      <c r="B35" s="3"/>
      <c r="C35" s="4"/>
      <c r="D35" s="4"/>
      <c r="E35" s="4"/>
      <c r="F35" s="4"/>
      <c r="G35" s="29" t="e">
        <f>(Table2[[#This Row],[Target Price]]-Table2[[#This Row],[Target Entry]])/(Table2[[#This Row],[Target Entry]]-Table2[[#This Row],[Stop]])</f>
        <v>#DIV/0!</v>
      </c>
      <c r="H35" s="2"/>
      <c r="I35" s="2"/>
      <c r="J35" s="2"/>
      <c r="K35" s="2"/>
      <c r="L35" s="2"/>
      <c r="M35" s="2"/>
      <c r="N35" s="2"/>
      <c r="O35" s="4">
        <f>IF(Table2[[#This Row],[Trade Direction]]="Short",Table2[[#This Row],[Target Entry]]-Table2[[#This Row],[Target Price]],Table2[[#This Row],[Target Price]]-Table2[[#This Row],[Target Entry]])*Table2[[#This Row],[Intended Position]]</f>
        <v>0</v>
      </c>
      <c r="P35" s="4">
        <f>IF(Table2[[#This Row],[Trade Direction]]="Short",Table2[[#This Row],[Target Entry]]-Table2[[#This Row],[Stop]],Table2[[#This Row],[Stop]]-Table2[[#This Row],[Target Entry]])*Table2[[#This Row],[Intended Position]]</f>
        <v>0</v>
      </c>
      <c r="Q35" s="2"/>
      <c r="R35" s="2"/>
      <c r="S35" s="2"/>
      <c r="T35" s="2"/>
      <c r="U35" s="15"/>
    </row>
    <row r="36" spans="1:21" x14ac:dyDescent="0.35">
      <c r="A36" s="5"/>
      <c r="B36" s="3"/>
      <c r="C36" s="4"/>
      <c r="D36" s="4"/>
      <c r="E36" s="4"/>
      <c r="F36" s="4"/>
      <c r="G36" s="29" t="e">
        <f>(Table2[[#This Row],[Target Price]]-Table2[[#This Row],[Target Entry]])/(Table2[[#This Row],[Target Entry]]-Table2[[#This Row],[Stop]])</f>
        <v>#DIV/0!</v>
      </c>
      <c r="H36" s="2"/>
      <c r="I36" s="2"/>
      <c r="J36" s="2"/>
      <c r="K36" s="2"/>
      <c r="L36" s="2"/>
      <c r="M36" s="2"/>
      <c r="N36" s="2"/>
      <c r="O36" s="4">
        <f>IF(Table2[[#This Row],[Trade Direction]]="Short",Table2[[#This Row],[Target Entry]]-Table2[[#This Row],[Target Price]],Table2[[#This Row],[Target Price]]-Table2[[#This Row],[Target Entry]])*Table2[[#This Row],[Intended Position]]</f>
        <v>0</v>
      </c>
      <c r="P36" s="4">
        <f>IF(Table2[[#This Row],[Trade Direction]]="Short",Table2[[#This Row],[Target Entry]]-Table2[[#This Row],[Stop]],Table2[[#This Row],[Stop]]-Table2[[#This Row],[Target Entry]])*Table2[[#This Row],[Intended Position]]</f>
        <v>0</v>
      </c>
      <c r="Q36" s="2"/>
      <c r="R36" s="2"/>
      <c r="S36" s="2"/>
      <c r="T36" s="2"/>
      <c r="U36" s="15"/>
    </row>
    <row r="37" spans="1:21" x14ac:dyDescent="0.35">
      <c r="A37" s="5"/>
      <c r="B37" s="3"/>
      <c r="C37" s="4"/>
      <c r="D37" s="4"/>
      <c r="E37" s="4"/>
      <c r="F37" s="4"/>
      <c r="G37" s="29" t="e">
        <f>(Table2[[#This Row],[Target Price]]-Table2[[#This Row],[Target Entry]])/(Table2[[#This Row],[Target Entry]]-Table2[[#This Row],[Stop]])</f>
        <v>#DIV/0!</v>
      </c>
      <c r="H37" s="2"/>
      <c r="I37" s="2"/>
      <c r="J37" s="2"/>
      <c r="K37" s="2"/>
      <c r="L37" s="2"/>
      <c r="M37" s="2"/>
      <c r="N37" s="2"/>
      <c r="O37" s="4">
        <f>IF(Table2[[#This Row],[Trade Direction]]="Short",Table2[[#This Row],[Target Entry]]-Table2[[#This Row],[Target Price]],Table2[[#This Row],[Target Price]]-Table2[[#This Row],[Target Entry]])*Table2[[#This Row],[Intended Position]]</f>
        <v>0</v>
      </c>
      <c r="P37" s="4">
        <f>IF(Table2[[#This Row],[Trade Direction]]="Short",Table2[[#This Row],[Target Entry]]-Table2[[#This Row],[Stop]],Table2[[#This Row],[Stop]]-Table2[[#This Row],[Target Entry]])*Table2[[#This Row],[Intended Position]]</f>
        <v>0</v>
      </c>
      <c r="Q37" s="2"/>
      <c r="R37" s="2"/>
      <c r="S37" s="2"/>
      <c r="T37" s="2"/>
      <c r="U37" s="15"/>
    </row>
    <row r="38" spans="1:21" x14ac:dyDescent="0.35">
      <c r="A38" s="5"/>
      <c r="B38" s="3"/>
      <c r="C38" s="4"/>
      <c r="D38" s="4"/>
      <c r="E38" s="4"/>
      <c r="F38" s="4"/>
      <c r="G38" s="29" t="e">
        <f>(Table2[[#This Row],[Target Price]]-Table2[[#This Row],[Target Entry]])/(Table2[[#This Row],[Target Entry]]-Table2[[#This Row],[Stop]])</f>
        <v>#DIV/0!</v>
      </c>
      <c r="H38" s="2"/>
      <c r="I38" s="2"/>
      <c r="J38" s="2"/>
      <c r="K38" s="2"/>
      <c r="L38" s="2"/>
      <c r="M38" s="2"/>
      <c r="N38" s="2"/>
      <c r="O38" s="4">
        <f>IF(Table2[[#This Row],[Trade Direction]]="Short",Table2[[#This Row],[Target Entry]]-Table2[[#This Row],[Target Price]],Table2[[#This Row],[Target Price]]-Table2[[#This Row],[Target Entry]])*Table2[[#This Row],[Intended Position]]</f>
        <v>0</v>
      </c>
      <c r="P38" s="4">
        <f>IF(Table2[[#This Row],[Trade Direction]]="Short",Table2[[#This Row],[Target Entry]]-Table2[[#This Row],[Stop]],Table2[[#This Row],[Stop]]-Table2[[#This Row],[Target Entry]])*Table2[[#This Row],[Intended Position]]</f>
        <v>0</v>
      </c>
      <c r="Q38" s="2"/>
      <c r="R38" s="2"/>
      <c r="S38" s="2"/>
      <c r="T38" s="2"/>
      <c r="U38" s="15"/>
    </row>
    <row r="39" spans="1:21" x14ac:dyDescent="0.35">
      <c r="A39" s="5"/>
      <c r="B39" s="3"/>
      <c r="C39" s="4"/>
      <c r="D39" s="4"/>
      <c r="E39" s="4"/>
      <c r="F39" s="4"/>
      <c r="G39" s="29" t="e">
        <f>(Table2[[#This Row],[Target Price]]-Table2[[#This Row],[Target Entry]])/(Table2[[#This Row],[Target Entry]]-Table2[[#This Row],[Stop]])</f>
        <v>#DIV/0!</v>
      </c>
      <c r="H39" s="2"/>
      <c r="I39" s="2"/>
      <c r="J39" s="2"/>
      <c r="K39" s="2"/>
      <c r="L39" s="2"/>
      <c r="M39" s="2"/>
      <c r="N39" s="2"/>
      <c r="O39" s="4">
        <f>IF(Table2[[#This Row],[Trade Direction]]="Short",Table2[[#This Row],[Target Entry]]-Table2[[#This Row],[Target Price]],Table2[[#This Row],[Target Price]]-Table2[[#This Row],[Target Entry]])*Table2[[#This Row],[Intended Position]]</f>
        <v>0</v>
      </c>
      <c r="P39" s="4">
        <f>IF(Table2[[#This Row],[Trade Direction]]="Short",Table2[[#This Row],[Target Entry]]-Table2[[#This Row],[Stop]],Table2[[#This Row],[Stop]]-Table2[[#This Row],[Target Entry]])*Table2[[#This Row],[Intended Position]]</f>
        <v>0</v>
      </c>
      <c r="Q39" s="2"/>
      <c r="R39" s="2"/>
      <c r="S39" s="2"/>
      <c r="T39" s="2"/>
      <c r="U39" s="15"/>
    </row>
    <row r="40" spans="1:21" x14ac:dyDescent="0.35">
      <c r="A40" s="5"/>
      <c r="B40" s="3"/>
      <c r="C40" s="4"/>
      <c r="D40" s="4"/>
      <c r="E40" s="4"/>
      <c r="F40" s="4"/>
      <c r="G40" s="29" t="e">
        <f>(Table2[[#This Row],[Target Price]]-Table2[[#This Row],[Target Entry]])/(Table2[[#This Row],[Target Entry]]-Table2[[#This Row],[Stop]])</f>
        <v>#DIV/0!</v>
      </c>
      <c r="H40" s="2"/>
      <c r="I40" s="2"/>
      <c r="J40" s="2"/>
      <c r="K40" s="2"/>
      <c r="L40" s="2"/>
      <c r="M40" s="2"/>
      <c r="N40" s="2"/>
      <c r="O40" s="4">
        <f>IF(Table2[[#This Row],[Trade Direction]]="Short",Table2[[#This Row],[Target Entry]]-Table2[[#This Row],[Target Price]],Table2[[#This Row],[Target Price]]-Table2[[#This Row],[Target Entry]])*Table2[[#This Row],[Intended Position]]</f>
        <v>0</v>
      </c>
      <c r="P40" s="4">
        <f>IF(Table2[[#This Row],[Trade Direction]]="Short",Table2[[#This Row],[Target Entry]]-Table2[[#This Row],[Stop]],Table2[[#This Row],[Stop]]-Table2[[#This Row],[Target Entry]])*Table2[[#This Row],[Intended Position]]</f>
        <v>0</v>
      </c>
      <c r="Q40" s="2"/>
      <c r="R40" s="2"/>
      <c r="S40" s="2"/>
      <c r="T40" s="2"/>
      <c r="U40" s="15"/>
    </row>
    <row r="41" spans="1:21" x14ac:dyDescent="0.35">
      <c r="A41" s="5"/>
      <c r="B41" s="3"/>
      <c r="C41" s="4"/>
      <c r="D41" s="4"/>
      <c r="E41" s="4"/>
      <c r="F41" s="4"/>
      <c r="G41" s="29" t="e">
        <f>(Table2[[#This Row],[Target Price]]-Table2[[#This Row],[Target Entry]])/(Table2[[#This Row],[Target Entry]]-Table2[[#This Row],[Stop]])</f>
        <v>#DIV/0!</v>
      </c>
      <c r="H41" s="2"/>
      <c r="I41" s="2"/>
      <c r="J41" s="2"/>
      <c r="K41" s="2"/>
      <c r="L41" s="2"/>
      <c r="M41" s="2"/>
      <c r="N41" s="2"/>
      <c r="O41" s="4">
        <f>IF(Table2[[#This Row],[Trade Direction]]="Short",Table2[[#This Row],[Target Entry]]-Table2[[#This Row],[Target Price]],Table2[[#This Row],[Target Price]]-Table2[[#This Row],[Target Entry]])*Table2[[#This Row],[Intended Position]]</f>
        <v>0</v>
      </c>
      <c r="P41" s="4">
        <f>IF(Table2[[#This Row],[Trade Direction]]="Short",Table2[[#This Row],[Target Entry]]-Table2[[#This Row],[Stop]],Table2[[#This Row],[Stop]]-Table2[[#This Row],[Target Entry]])*Table2[[#This Row],[Intended Position]]</f>
        <v>0</v>
      </c>
      <c r="Q41" s="2"/>
      <c r="R41" s="2"/>
      <c r="S41" s="2"/>
      <c r="T41" s="2"/>
      <c r="U41" s="15"/>
    </row>
    <row r="42" spans="1:21" x14ac:dyDescent="0.35">
      <c r="A42" s="5"/>
      <c r="B42" s="3"/>
      <c r="C42" s="4"/>
      <c r="D42" s="4"/>
      <c r="E42" s="4"/>
      <c r="F42" s="4"/>
      <c r="G42" s="29" t="e">
        <f>(Table2[[#This Row],[Target Price]]-Table2[[#This Row],[Target Entry]])/(Table2[[#This Row],[Target Entry]]-Table2[[#This Row],[Stop]])</f>
        <v>#DIV/0!</v>
      </c>
      <c r="H42" s="2"/>
      <c r="I42" s="2"/>
      <c r="J42" s="2"/>
      <c r="K42" s="2"/>
      <c r="L42" s="2"/>
      <c r="M42" s="2"/>
      <c r="N42" s="2"/>
      <c r="O42" s="4">
        <f>IF(Table2[[#This Row],[Trade Direction]]="Short",Table2[[#This Row],[Target Entry]]-Table2[[#This Row],[Target Price]],Table2[[#This Row],[Target Price]]-Table2[[#This Row],[Target Entry]])*Table2[[#This Row],[Intended Position]]</f>
        <v>0</v>
      </c>
      <c r="P42" s="4">
        <f>IF(Table2[[#This Row],[Trade Direction]]="Short",Table2[[#This Row],[Target Entry]]-Table2[[#This Row],[Stop]],Table2[[#This Row],[Stop]]-Table2[[#This Row],[Target Entry]])*Table2[[#This Row],[Intended Position]]</f>
        <v>0</v>
      </c>
      <c r="Q42" s="2"/>
      <c r="R42" s="2"/>
      <c r="S42" s="2"/>
      <c r="T42" s="2"/>
      <c r="U42" s="15"/>
    </row>
    <row r="43" spans="1:21" x14ac:dyDescent="0.35">
      <c r="A43" s="5"/>
      <c r="B43" s="3"/>
      <c r="C43" s="4"/>
      <c r="D43" s="4"/>
      <c r="E43" s="4"/>
      <c r="F43" s="4"/>
      <c r="G43" s="29" t="e">
        <f>(Table2[[#This Row],[Target Price]]-Table2[[#This Row],[Target Entry]])/(Table2[[#This Row],[Target Entry]]-Table2[[#This Row],[Stop]])</f>
        <v>#DIV/0!</v>
      </c>
      <c r="H43" s="2"/>
      <c r="I43" s="2"/>
      <c r="J43" s="2"/>
      <c r="K43" s="2"/>
      <c r="L43" s="2"/>
      <c r="M43" s="2"/>
      <c r="N43" s="2"/>
      <c r="O43" s="4">
        <f>IF(Table2[[#This Row],[Trade Direction]]="Short",Table2[[#This Row],[Target Entry]]-Table2[[#This Row],[Target Price]],Table2[[#This Row],[Target Price]]-Table2[[#This Row],[Target Entry]])*Table2[[#This Row],[Intended Position]]</f>
        <v>0</v>
      </c>
      <c r="P43" s="4">
        <f>IF(Table2[[#This Row],[Trade Direction]]="Short",Table2[[#This Row],[Target Entry]]-Table2[[#This Row],[Stop]],Table2[[#This Row],[Stop]]-Table2[[#This Row],[Target Entry]])*Table2[[#This Row],[Intended Position]]</f>
        <v>0</v>
      </c>
      <c r="Q43" s="2"/>
      <c r="R43" s="2"/>
      <c r="S43" s="2"/>
      <c r="T43" s="2"/>
      <c r="U43" s="15"/>
    </row>
    <row r="44" spans="1:21" x14ac:dyDescent="0.35">
      <c r="A44" s="5"/>
      <c r="B44" s="3"/>
      <c r="C44" s="4"/>
      <c r="D44" s="4"/>
      <c r="E44" s="4"/>
      <c r="F44" s="4"/>
      <c r="G44" s="29" t="e">
        <f>(Table2[[#This Row],[Target Price]]-Table2[[#This Row],[Target Entry]])/(Table2[[#This Row],[Target Entry]]-Table2[[#This Row],[Stop]])</f>
        <v>#DIV/0!</v>
      </c>
      <c r="H44" s="2"/>
      <c r="I44" s="2"/>
      <c r="J44" s="2"/>
      <c r="K44" s="2"/>
      <c r="L44" s="2"/>
      <c r="M44" s="2"/>
      <c r="N44" s="2"/>
      <c r="O44" s="4">
        <f>IF(Table2[[#This Row],[Trade Direction]]="Short",Table2[[#This Row],[Target Entry]]-Table2[[#This Row],[Target Price]],Table2[[#This Row],[Target Price]]-Table2[[#This Row],[Target Entry]])*Table2[[#This Row],[Intended Position]]</f>
        <v>0</v>
      </c>
      <c r="P44" s="4">
        <f>IF(Table2[[#This Row],[Trade Direction]]="Short",Table2[[#This Row],[Target Entry]]-Table2[[#This Row],[Stop]],Table2[[#This Row],[Stop]]-Table2[[#This Row],[Target Entry]])*Table2[[#This Row],[Intended Position]]</f>
        <v>0</v>
      </c>
      <c r="Q44" s="2"/>
      <c r="R44" s="2"/>
      <c r="S44" s="2"/>
      <c r="T44" s="2"/>
      <c r="U44" s="15"/>
    </row>
    <row r="45" spans="1:21" x14ac:dyDescent="0.35">
      <c r="A45" s="5"/>
      <c r="B45" s="3"/>
      <c r="C45" s="4"/>
      <c r="D45" s="4"/>
      <c r="E45" s="4"/>
      <c r="F45" s="4"/>
      <c r="G45" s="29" t="e">
        <f>(Table2[[#This Row],[Target Price]]-Table2[[#This Row],[Target Entry]])/(Table2[[#This Row],[Target Entry]]-Table2[[#This Row],[Stop]])</f>
        <v>#DIV/0!</v>
      </c>
      <c r="H45" s="2"/>
      <c r="I45" s="2"/>
      <c r="J45" s="2"/>
      <c r="K45" s="2"/>
      <c r="L45" s="2"/>
      <c r="M45" s="2"/>
      <c r="N45" s="2"/>
      <c r="O45" s="4">
        <f>IF(Table2[[#This Row],[Trade Direction]]="Short",Table2[[#This Row],[Target Entry]]-Table2[[#This Row],[Target Price]],Table2[[#This Row],[Target Price]]-Table2[[#This Row],[Target Entry]])*Table2[[#This Row],[Intended Position]]</f>
        <v>0</v>
      </c>
      <c r="P45" s="4">
        <f>IF(Table2[[#This Row],[Trade Direction]]="Short",Table2[[#This Row],[Target Entry]]-Table2[[#This Row],[Stop]],Table2[[#This Row],[Stop]]-Table2[[#This Row],[Target Entry]])*Table2[[#This Row],[Intended Position]]</f>
        <v>0</v>
      </c>
      <c r="Q45" s="2"/>
      <c r="R45" s="2"/>
      <c r="S45" s="2"/>
      <c r="T45" s="2"/>
      <c r="U45" s="15"/>
    </row>
    <row r="46" spans="1:21" x14ac:dyDescent="0.35">
      <c r="A46" s="5"/>
      <c r="B46" s="3"/>
      <c r="C46" s="4"/>
      <c r="D46" s="4"/>
      <c r="E46" s="4"/>
      <c r="F46" s="4"/>
      <c r="G46" s="29" t="e">
        <f>(Table2[[#This Row],[Target Price]]-Table2[[#This Row],[Target Entry]])/(Table2[[#This Row],[Target Entry]]-Table2[[#This Row],[Stop]])</f>
        <v>#DIV/0!</v>
      </c>
      <c r="H46" s="2"/>
      <c r="I46" s="2"/>
      <c r="J46" s="2"/>
      <c r="K46" s="2"/>
      <c r="L46" s="2"/>
      <c r="M46" s="2"/>
      <c r="N46" s="2"/>
      <c r="O46" s="4">
        <f>IF(Table2[[#This Row],[Trade Direction]]="Short",Table2[[#This Row],[Target Entry]]-Table2[[#This Row],[Target Price]],Table2[[#This Row],[Target Price]]-Table2[[#This Row],[Target Entry]])*Table2[[#This Row],[Intended Position]]</f>
        <v>0</v>
      </c>
      <c r="P46" s="4">
        <f>IF(Table2[[#This Row],[Trade Direction]]="Short",Table2[[#This Row],[Target Entry]]-Table2[[#This Row],[Stop]],Table2[[#This Row],[Stop]]-Table2[[#This Row],[Target Entry]])*Table2[[#This Row],[Intended Position]]</f>
        <v>0</v>
      </c>
      <c r="Q46" s="2"/>
      <c r="R46" s="2"/>
      <c r="S46" s="2"/>
      <c r="T46" s="2"/>
      <c r="U46" s="15"/>
    </row>
    <row r="47" spans="1:21" x14ac:dyDescent="0.35">
      <c r="A47" s="5"/>
      <c r="B47" s="3"/>
      <c r="C47" s="4"/>
      <c r="D47" s="4"/>
      <c r="E47" s="4"/>
      <c r="F47" s="4"/>
      <c r="G47" s="29" t="e">
        <f>(Table2[[#This Row],[Target Price]]-Table2[[#This Row],[Target Entry]])/(Table2[[#This Row],[Target Entry]]-Table2[[#This Row],[Stop]])</f>
        <v>#DIV/0!</v>
      </c>
      <c r="H47" s="2"/>
      <c r="I47" s="2"/>
      <c r="J47" s="2"/>
      <c r="K47" s="2"/>
      <c r="L47" s="2"/>
      <c r="M47" s="2"/>
      <c r="N47" s="2"/>
      <c r="O47" s="4">
        <f>IF(Table2[[#This Row],[Trade Direction]]="Short",Table2[[#This Row],[Target Entry]]-Table2[[#This Row],[Target Price]],Table2[[#This Row],[Target Price]]-Table2[[#This Row],[Target Entry]])*Table2[[#This Row],[Intended Position]]</f>
        <v>0</v>
      </c>
      <c r="P47" s="4">
        <f>IF(Table2[[#This Row],[Trade Direction]]="Short",Table2[[#This Row],[Target Entry]]-Table2[[#This Row],[Stop]],Table2[[#This Row],[Stop]]-Table2[[#This Row],[Target Entry]])*Table2[[#This Row],[Intended Position]]</f>
        <v>0</v>
      </c>
      <c r="Q47" s="2"/>
      <c r="R47" s="2"/>
      <c r="S47" s="2"/>
      <c r="T47" s="2"/>
      <c r="U47" s="15"/>
    </row>
    <row r="48" spans="1:21" x14ac:dyDescent="0.35">
      <c r="A48" s="5"/>
      <c r="B48" s="3"/>
      <c r="C48" s="4"/>
      <c r="D48" s="4"/>
      <c r="E48" s="4"/>
      <c r="F48" s="4"/>
      <c r="G48" s="29" t="e">
        <f>(Table2[[#This Row],[Target Price]]-Table2[[#This Row],[Target Entry]])/(Table2[[#This Row],[Target Entry]]-Table2[[#This Row],[Stop]])</f>
        <v>#DIV/0!</v>
      </c>
      <c r="H48" s="2"/>
      <c r="I48" s="2"/>
      <c r="J48" s="2"/>
      <c r="K48" s="2"/>
      <c r="L48" s="2"/>
      <c r="M48" s="2"/>
      <c r="N48" s="2"/>
      <c r="O48" s="4">
        <f>IF(Table2[[#This Row],[Trade Direction]]="Short",Table2[[#This Row],[Target Entry]]-Table2[[#This Row],[Target Price]],Table2[[#This Row],[Target Price]]-Table2[[#This Row],[Target Entry]])*Table2[[#This Row],[Intended Position]]</f>
        <v>0</v>
      </c>
      <c r="P48" s="4">
        <f>IF(Table2[[#This Row],[Trade Direction]]="Short",Table2[[#This Row],[Target Entry]]-Table2[[#This Row],[Stop]],Table2[[#This Row],[Stop]]-Table2[[#This Row],[Target Entry]])*Table2[[#This Row],[Intended Position]]</f>
        <v>0</v>
      </c>
      <c r="Q48" s="2"/>
      <c r="R48" s="2"/>
      <c r="S48" s="2"/>
      <c r="T48" s="2"/>
      <c r="U48" s="15"/>
    </row>
    <row r="49" spans="1:21" x14ac:dyDescent="0.35">
      <c r="A49" s="5"/>
      <c r="B49" s="3"/>
      <c r="C49" s="4"/>
      <c r="D49" s="4"/>
      <c r="E49" s="4"/>
      <c r="F49" s="4"/>
      <c r="G49" s="29" t="e">
        <f>(Table2[[#This Row],[Target Price]]-Table2[[#This Row],[Target Entry]])/(Table2[[#This Row],[Target Entry]]-Table2[[#This Row],[Stop]])</f>
        <v>#DIV/0!</v>
      </c>
      <c r="H49" s="2"/>
      <c r="I49" s="2"/>
      <c r="J49" s="2"/>
      <c r="K49" s="2"/>
      <c r="L49" s="2"/>
      <c r="M49" s="2"/>
      <c r="N49" s="2"/>
      <c r="O49" s="4">
        <f>IF(Table2[[#This Row],[Trade Direction]]="Short",Table2[[#This Row],[Target Entry]]-Table2[[#This Row],[Target Price]],Table2[[#This Row],[Target Price]]-Table2[[#This Row],[Target Entry]])*Table2[[#This Row],[Intended Position]]</f>
        <v>0</v>
      </c>
      <c r="P49" s="4">
        <f>IF(Table2[[#This Row],[Trade Direction]]="Short",Table2[[#This Row],[Target Entry]]-Table2[[#This Row],[Stop]],Table2[[#This Row],[Stop]]-Table2[[#This Row],[Target Entry]])*Table2[[#This Row],[Intended Position]]</f>
        <v>0</v>
      </c>
      <c r="Q49" s="2"/>
      <c r="R49" s="2"/>
      <c r="S49" s="2"/>
      <c r="T49" s="2"/>
      <c r="U49" s="15"/>
    </row>
    <row r="50" spans="1:21" x14ac:dyDescent="0.35">
      <c r="A50" s="5"/>
      <c r="B50" s="3"/>
      <c r="C50" s="4"/>
      <c r="D50" s="4"/>
      <c r="E50" s="4"/>
      <c r="F50" s="4"/>
      <c r="G50" s="29" t="e">
        <f>(Table2[[#This Row],[Target Price]]-Table2[[#This Row],[Target Entry]])/(Table2[[#This Row],[Target Entry]]-Table2[[#This Row],[Stop]])</f>
        <v>#DIV/0!</v>
      </c>
      <c r="H50" s="2"/>
      <c r="I50" s="2"/>
      <c r="J50" s="2"/>
      <c r="K50" s="2"/>
      <c r="L50" s="2"/>
      <c r="M50" s="2"/>
      <c r="N50" s="2"/>
      <c r="O50" s="4">
        <f>IF(Table2[[#This Row],[Trade Direction]]="Short",Table2[[#This Row],[Target Entry]]-Table2[[#This Row],[Target Price]],Table2[[#This Row],[Target Price]]-Table2[[#This Row],[Target Entry]])*Table2[[#This Row],[Intended Position]]</f>
        <v>0</v>
      </c>
      <c r="P50" s="4">
        <f>IF(Table2[[#This Row],[Trade Direction]]="Short",Table2[[#This Row],[Target Entry]]-Table2[[#This Row],[Stop]],Table2[[#This Row],[Stop]]-Table2[[#This Row],[Target Entry]])*Table2[[#This Row],[Intended Position]]</f>
        <v>0</v>
      </c>
      <c r="Q50" s="2"/>
      <c r="R50" s="2"/>
      <c r="S50" s="2"/>
      <c r="T50" s="2"/>
      <c r="U50" s="15"/>
    </row>
    <row r="51" spans="1:21" x14ac:dyDescent="0.35">
      <c r="A51" s="5"/>
      <c r="B51" s="3"/>
      <c r="C51" s="4"/>
      <c r="D51" s="4"/>
      <c r="E51" s="4"/>
      <c r="F51" s="4"/>
      <c r="G51" s="29" t="e">
        <f>(Table2[[#This Row],[Target Price]]-Table2[[#This Row],[Target Entry]])/(Table2[[#This Row],[Target Entry]]-Table2[[#This Row],[Stop]])</f>
        <v>#DIV/0!</v>
      </c>
      <c r="H51" s="2"/>
      <c r="I51" s="2"/>
      <c r="J51" s="2"/>
      <c r="K51" s="2"/>
      <c r="L51" s="2"/>
      <c r="M51" s="2"/>
      <c r="N51" s="2"/>
      <c r="O51" s="4">
        <f>IF(Table2[[#This Row],[Trade Direction]]="Short",Table2[[#This Row],[Target Entry]]-Table2[[#This Row],[Target Price]],Table2[[#This Row],[Target Price]]-Table2[[#This Row],[Target Entry]])*Table2[[#This Row],[Intended Position]]</f>
        <v>0</v>
      </c>
      <c r="P51" s="4">
        <f>IF(Table2[[#This Row],[Trade Direction]]="Short",Table2[[#This Row],[Target Entry]]-Table2[[#This Row],[Stop]],Table2[[#This Row],[Stop]]-Table2[[#This Row],[Target Entry]])*Table2[[#This Row],[Intended Position]]</f>
        <v>0</v>
      </c>
      <c r="Q51" s="2"/>
      <c r="R51" s="2"/>
      <c r="S51" s="2"/>
      <c r="T51" s="2"/>
      <c r="U51" s="15"/>
    </row>
    <row r="52" spans="1:21" x14ac:dyDescent="0.35">
      <c r="A52" s="5"/>
      <c r="B52" s="3"/>
      <c r="C52" s="4"/>
      <c r="D52" s="4"/>
      <c r="E52" s="4"/>
      <c r="F52" s="4"/>
      <c r="G52" s="29" t="e">
        <f>(Table2[[#This Row],[Target Price]]-Table2[[#This Row],[Target Entry]])/(Table2[[#This Row],[Target Entry]]-Table2[[#This Row],[Stop]])</f>
        <v>#DIV/0!</v>
      </c>
      <c r="H52" s="2"/>
      <c r="I52" s="2"/>
      <c r="J52" s="2"/>
      <c r="K52" s="2"/>
      <c r="L52" s="2"/>
      <c r="M52" s="2"/>
      <c r="N52" s="2"/>
      <c r="O52" s="4">
        <f>IF(Table2[[#This Row],[Trade Direction]]="Short",Table2[[#This Row],[Target Entry]]-Table2[[#This Row],[Target Price]],Table2[[#This Row],[Target Price]]-Table2[[#This Row],[Target Entry]])*Table2[[#This Row],[Intended Position]]</f>
        <v>0</v>
      </c>
      <c r="P52" s="4">
        <f>IF(Table2[[#This Row],[Trade Direction]]="Short",Table2[[#This Row],[Target Entry]]-Table2[[#This Row],[Stop]],Table2[[#This Row],[Stop]]-Table2[[#This Row],[Target Entry]])*Table2[[#This Row],[Intended Position]]</f>
        <v>0</v>
      </c>
      <c r="Q52" s="2"/>
      <c r="R52" s="2"/>
      <c r="S52" s="2"/>
      <c r="T52" s="2"/>
      <c r="U52" s="15"/>
    </row>
    <row r="53" spans="1:21" x14ac:dyDescent="0.35">
      <c r="A53" s="5"/>
      <c r="B53" s="3"/>
      <c r="C53" s="4"/>
      <c r="D53" s="4"/>
      <c r="E53" s="4"/>
      <c r="F53" s="4"/>
      <c r="G53" s="29" t="e">
        <f>(Table2[[#This Row],[Target Price]]-Table2[[#This Row],[Target Entry]])/(Table2[[#This Row],[Target Entry]]-Table2[[#This Row],[Stop]])</f>
        <v>#DIV/0!</v>
      </c>
      <c r="H53" s="2"/>
      <c r="I53" s="2"/>
      <c r="J53" s="2"/>
      <c r="K53" s="2"/>
      <c r="L53" s="2"/>
      <c r="M53" s="2"/>
      <c r="N53" s="2"/>
      <c r="O53" s="4">
        <f>IF(Table2[[#This Row],[Trade Direction]]="Short",Table2[[#This Row],[Target Entry]]-Table2[[#This Row],[Target Price]],Table2[[#This Row],[Target Price]]-Table2[[#This Row],[Target Entry]])*Table2[[#This Row],[Intended Position]]</f>
        <v>0</v>
      </c>
      <c r="P53" s="4">
        <f>IF(Table2[[#This Row],[Trade Direction]]="Short",Table2[[#This Row],[Target Entry]]-Table2[[#This Row],[Stop]],Table2[[#This Row],[Stop]]-Table2[[#This Row],[Target Entry]])*Table2[[#This Row],[Intended Position]]</f>
        <v>0</v>
      </c>
      <c r="Q53" s="2"/>
      <c r="R53" s="2"/>
      <c r="S53" s="2"/>
      <c r="T53" s="2"/>
      <c r="U53" s="15"/>
    </row>
    <row r="54" spans="1:21" x14ac:dyDescent="0.35">
      <c r="A54" s="5"/>
      <c r="B54" s="3"/>
      <c r="C54" s="4"/>
      <c r="D54" s="4"/>
      <c r="E54" s="4"/>
      <c r="F54" s="4"/>
      <c r="G54" s="29" t="e">
        <f>(Table2[[#This Row],[Target Price]]-Table2[[#This Row],[Target Entry]])/(Table2[[#This Row],[Target Entry]]-Table2[[#This Row],[Stop]])</f>
        <v>#DIV/0!</v>
      </c>
      <c r="H54" s="2"/>
      <c r="I54" s="2"/>
      <c r="J54" s="2"/>
      <c r="K54" s="2"/>
      <c r="L54" s="2"/>
      <c r="M54" s="2"/>
      <c r="N54" s="2"/>
      <c r="O54" s="4">
        <f>IF(Table2[[#This Row],[Trade Direction]]="Short",Table2[[#This Row],[Target Entry]]-Table2[[#This Row],[Target Price]],Table2[[#This Row],[Target Price]]-Table2[[#This Row],[Target Entry]])*Table2[[#This Row],[Intended Position]]</f>
        <v>0</v>
      </c>
      <c r="P54" s="4">
        <f>IF(Table2[[#This Row],[Trade Direction]]="Short",Table2[[#This Row],[Target Entry]]-Table2[[#This Row],[Stop]],Table2[[#This Row],[Stop]]-Table2[[#This Row],[Target Entry]])*Table2[[#This Row],[Intended Position]]</f>
        <v>0</v>
      </c>
      <c r="Q54" s="2"/>
      <c r="R54" s="2"/>
      <c r="S54" s="2"/>
      <c r="T54" s="2"/>
      <c r="U54" s="15"/>
    </row>
    <row r="55" spans="1:21" x14ac:dyDescent="0.35">
      <c r="A55" s="5"/>
      <c r="B55" s="3"/>
      <c r="C55" s="4"/>
      <c r="D55" s="4"/>
      <c r="E55" s="4"/>
      <c r="F55" s="4"/>
      <c r="G55" s="29" t="e">
        <f>(Table2[[#This Row],[Target Price]]-Table2[[#This Row],[Target Entry]])/(Table2[[#This Row],[Target Entry]]-Table2[[#This Row],[Stop]])</f>
        <v>#DIV/0!</v>
      </c>
      <c r="H55" s="2"/>
      <c r="I55" s="2"/>
      <c r="J55" s="2"/>
      <c r="K55" s="2"/>
      <c r="L55" s="2"/>
      <c r="M55" s="2"/>
      <c r="N55" s="2"/>
      <c r="O55" s="4">
        <f>IF(Table2[[#This Row],[Trade Direction]]="Short",Table2[[#This Row],[Target Entry]]-Table2[[#This Row],[Target Price]],Table2[[#This Row],[Target Price]]-Table2[[#This Row],[Target Entry]])*Table2[[#This Row],[Intended Position]]</f>
        <v>0</v>
      </c>
      <c r="P55" s="4">
        <f>IF(Table2[[#This Row],[Trade Direction]]="Short",Table2[[#This Row],[Target Entry]]-Table2[[#This Row],[Stop]],Table2[[#This Row],[Stop]]-Table2[[#This Row],[Target Entry]])*Table2[[#This Row],[Intended Position]]</f>
        <v>0</v>
      </c>
      <c r="Q55" s="2"/>
      <c r="R55" s="2"/>
      <c r="S55" s="2"/>
      <c r="T55" s="2"/>
      <c r="U55" s="15"/>
    </row>
    <row r="56" spans="1:21" x14ac:dyDescent="0.35">
      <c r="A56" s="5"/>
      <c r="B56" s="3"/>
      <c r="C56" s="4"/>
      <c r="D56" s="4"/>
      <c r="E56" s="4"/>
      <c r="F56" s="4"/>
      <c r="G56" s="29" t="e">
        <f>(Table2[[#This Row],[Target Price]]-Table2[[#This Row],[Target Entry]])/(Table2[[#This Row],[Target Entry]]-Table2[[#This Row],[Stop]])</f>
        <v>#DIV/0!</v>
      </c>
      <c r="H56" s="2"/>
      <c r="I56" s="2"/>
      <c r="J56" s="2"/>
      <c r="K56" s="2"/>
      <c r="L56" s="2"/>
      <c r="M56" s="2"/>
      <c r="N56" s="2"/>
      <c r="O56" s="4">
        <f>IF(Table2[[#This Row],[Trade Direction]]="Short",Table2[[#This Row],[Target Entry]]-Table2[[#This Row],[Target Price]],Table2[[#This Row],[Target Price]]-Table2[[#This Row],[Target Entry]])*Table2[[#This Row],[Intended Position]]</f>
        <v>0</v>
      </c>
      <c r="P56" s="4">
        <f>IF(Table2[[#This Row],[Trade Direction]]="Short",Table2[[#This Row],[Target Entry]]-Table2[[#This Row],[Stop]],Table2[[#This Row],[Stop]]-Table2[[#This Row],[Target Entry]])*Table2[[#This Row],[Intended Position]]</f>
        <v>0</v>
      </c>
      <c r="Q56" s="2"/>
      <c r="R56" s="2"/>
      <c r="S56" s="2"/>
      <c r="T56" s="2"/>
      <c r="U56" s="15"/>
    </row>
    <row r="57" spans="1:21" x14ac:dyDescent="0.35">
      <c r="A57" s="5"/>
      <c r="B57" s="3"/>
      <c r="C57" s="4"/>
      <c r="D57" s="4"/>
      <c r="E57" s="4"/>
      <c r="F57" s="4"/>
      <c r="G57" s="29" t="e">
        <f>(Table2[[#This Row],[Target Price]]-Table2[[#This Row],[Target Entry]])/(Table2[[#This Row],[Target Entry]]-Table2[[#This Row],[Stop]])</f>
        <v>#DIV/0!</v>
      </c>
      <c r="H57" s="2"/>
      <c r="I57" s="2"/>
      <c r="J57" s="2"/>
      <c r="K57" s="2"/>
      <c r="L57" s="2"/>
      <c r="M57" s="2"/>
      <c r="N57" s="2"/>
      <c r="O57" s="4">
        <f>IF(Table2[[#This Row],[Trade Direction]]="Short",Table2[[#This Row],[Target Entry]]-Table2[[#This Row],[Target Price]],Table2[[#This Row],[Target Price]]-Table2[[#This Row],[Target Entry]])*Table2[[#This Row],[Intended Position]]</f>
        <v>0</v>
      </c>
      <c r="P57" s="4">
        <f>IF(Table2[[#This Row],[Trade Direction]]="Short",Table2[[#This Row],[Target Entry]]-Table2[[#This Row],[Stop]],Table2[[#This Row],[Stop]]-Table2[[#This Row],[Target Entry]])*Table2[[#This Row],[Intended Position]]</f>
        <v>0</v>
      </c>
      <c r="Q57" s="2"/>
      <c r="R57" s="2"/>
      <c r="S57" s="2"/>
      <c r="T57" s="2"/>
      <c r="U57" s="1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A5"/>
  <sheetViews>
    <sheetView tabSelected="1" workbookViewId="0">
      <selection activeCell="B2" sqref="B2"/>
    </sheetView>
  </sheetViews>
  <sheetFormatPr defaultRowHeight="14.5" x14ac:dyDescent="0.35"/>
  <cols>
    <col min="1" max="6" width="8.7265625" style="14" customWidth="1"/>
    <col min="7" max="7" width="18.08984375" style="14" customWidth="1"/>
    <col min="8" max="22" width="8.7265625" style="14" customWidth="1"/>
    <col min="23" max="23" width="14.81640625" style="12" customWidth="1"/>
    <col min="24" max="25" width="8.7265625" style="13" customWidth="1"/>
    <col min="26" max="27" width="8.7265625" style="14" customWidth="1"/>
  </cols>
  <sheetData>
    <row r="1" spans="1:27" x14ac:dyDescent="0.35">
      <c r="A1" s="14" t="s">
        <v>63</v>
      </c>
      <c r="B1" s="24" t="s">
        <v>62</v>
      </c>
      <c r="C1" s="14" t="s">
        <v>64</v>
      </c>
      <c r="D1" s="24" t="s">
        <v>59</v>
      </c>
      <c r="E1" s="14" t="s">
        <v>65</v>
      </c>
      <c r="F1" s="14" t="s">
        <v>66</v>
      </c>
      <c r="G1" s="14" t="s">
        <v>67</v>
      </c>
      <c r="H1" s="14" t="s">
        <v>68</v>
      </c>
      <c r="I1" s="14" t="s">
        <v>69</v>
      </c>
      <c r="J1" s="14" t="s">
        <v>70</v>
      </c>
      <c r="K1" s="14" t="s">
        <v>71</v>
      </c>
      <c r="L1" s="14" t="s">
        <v>72</v>
      </c>
      <c r="M1" s="14" t="s">
        <v>73</v>
      </c>
      <c r="N1" s="14" t="s">
        <v>74</v>
      </c>
      <c r="O1" s="14" t="s">
        <v>75</v>
      </c>
      <c r="P1" s="14" t="s">
        <v>76</v>
      </c>
      <c r="Q1" s="14" t="s">
        <v>77</v>
      </c>
      <c r="R1" s="14" t="s">
        <v>78</v>
      </c>
      <c r="S1" s="14" t="s">
        <v>79</v>
      </c>
      <c r="T1" s="14" t="s">
        <v>80</v>
      </c>
      <c r="U1" s="14" t="s">
        <v>81</v>
      </c>
      <c r="V1" s="14" t="s">
        <v>82</v>
      </c>
      <c r="W1" s="12" t="s">
        <v>83</v>
      </c>
      <c r="X1" s="13" t="s">
        <v>84</v>
      </c>
      <c r="Y1" s="13" t="s">
        <v>85</v>
      </c>
      <c r="Z1" s="14" t="s">
        <v>86</v>
      </c>
      <c r="AA1" s="14" t="s">
        <v>87</v>
      </c>
    </row>
    <row r="2" spans="1:27" x14ac:dyDescent="0.35">
      <c r="A2" t="s">
        <v>88</v>
      </c>
      <c r="B2">
        <v>4</v>
      </c>
      <c r="C2" t="s">
        <v>89</v>
      </c>
      <c r="D2"/>
      <c r="E2">
        <v>1</v>
      </c>
      <c r="F2" t="s">
        <v>90</v>
      </c>
      <c r="G2" s="35">
        <v>45401</v>
      </c>
      <c r="H2"/>
      <c r="I2"/>
      <c r="J2"/>
      <c r="K2"/>
      <c r="L2"/>
      <c r="M2"/>
      <c r="N2"/>
      <c r="O2"/>
      <c r="P2"/>
      <c r="Q2"/>
      <c r="R2"/>
      <c r="S2" t="s">
        <v>91</v>
      </c>
      <c r="T2" t="s">
        <v>92</v>
      </c>
      <c r="U2" t="s">
        <v>93</v>
      </c>
      <c r="V2" t="s">
        <v>94</v>
      </c>
      <c r="W2" s="36">
        <f>(T2-S2)/S2</f>
        <v>3.4482758620689689E-2</v>
      </c>
      <c r="X2">
        <v>-95</v>
      </c>
      <c r="Y2">
        <v>20</v>
      </c>
      <c r="Z2"/>
      <c r="AA2"/>
    </row>
    <row r="3" spans="1:27" x14ac:dyDescent="0.35">
      <c r="A3" t="s">
        <v>95</v>
      </c>
      <c r="B3">
        <v>2</v>
      </c>
      <c r="C3" t="s">
        <v>89</v>
      </c>
      <c r="D3"/>
      <c r="E3">
        <v>1</v>
      </c>
      <c r="F3" t="s">
        <v>96</v>
      </c>
      <c r="G3" s="35">
        <v>45397</v>
      </c>
      <c r="H3"/>
      <c r="I3"/>
      <c r="J3"/>
      <c r="K3"/>
      <c r="L3"/>
      <c r="M3"/>
      <c r="N3"/>
      <c r="O3"/>
      <c r="P3"/>
      <c r="Q3"/>
      <c r="R3"/>
      <c r="S3" t="s">
        <v>97</v>
      </c>
      <c r="T3" t="s">
        <v>98</v>
      </c>
      <c r="U3" t="s">
        <v>99</v>
      </c>
      <c r="V3" t="s">
        <v>94</v>
      </c>
      <c r="W3" s="36">
        <f>(T3-S3)/S3</f>
        <v>-5.1282051282051218E-2</v>
      </c>
      <c r="X3">
        <v>-40</v>
      </c>
      <c r="Y3"/>
      <c r="Z3"/>
      <c r="AA3"/>
    </row>
    <row r="4" spans="1:27" x14ac:dyDescent="0.35">
      <c r="A4" t="s">
        <v>88</v>
      </c>
      <c r="B4">
        <v>3</v>
      </c>
      <c r="C4" t="s">
        <v>89</v>
      </c>
      <c r="D4"/>
      <c r="E4">
        <v>1</v>
      </c>
      <c r="F4" t="s">
        <v>96</v>
      </c>
      <c r="G4" s="35">
        <v>45397</v>
      </c>
      <c r="H4"/>
      <c r="I4"/>
      <c r="J4"/>
      <c r="K4"/>
      <c r="L4"/>
      <c r="M4"/>
      <c r="N4"/>
      <c r="O4"/>
      <c r="P4"/>
      <c r="Q4"/>
      <c r="R4"/>
      <c r="S4" t="s">
        <v>100</v>
      </c>
      <c r="T4" t="s">
        <v>101</v>
      </c>
      <c r="U4" t="s">
        <v>102</v>
      </c>
      <c r="V4" t="s">
        <v>94</v>
      </c>
      <c r="W4" s="36">
        <f>(T4-S4)/S4</f>
        <v>4.7619047619047596E-2</v>
      </c>
      <c r="X4">
        <v>20</v>
      </c>
      <c r="Y4">
        <v>30</v>
      </c>
      <c r="Z4"/>
      <c r="AA4"/>
    </row>
    <row r="5" spans="1:27" x14ac:dyDescent="0.35">
      <c r="A5" t="s">
        <v>88</v>
      </c>
      <c r="B5">
        <v>1</v>
      </c>
      <c r="C5" t="s">
        <v>21</v>
      </c>
      <c r="D5"/>
      <c r="E5">
        <v>25</v>
      </c>
      <c r="F5" t="s">
        <v>103</v>
      </c>
      <c r="G5" s="35">
        <v>45352</v>
      </c>
      <c r="H5"/>
      <c r="I5"/>
      <c r="J5"/>
      <c r="K5"/>
      <c r="L5"/>
      <c r="M5"/>
      <c r="N5"/>
      <c r="O5"/>
      <c r="P5"/>
      <c r="Q5"/>
      <c r="R5"/>
      <c r="S5" t="s">
        <v>104</v>
      </c>
      <c r="T5" t="s">
        <v>105</v>
      </c>
      <c r="U5" t="s">
        <v>106</v>
      </c>
      <c r="V5" t="s">
        <v>107</v>
      </c>
      <c r="W5" s="36">
        <f>(T5-S5)/S5</f>
        <v>0.33123094066713438</v>
      </c>
      <c r="X5">
        <v>-58.247500000000002</v>
      </c>
      <c r="Y5">
        <v>603.75300000000004</v>
      </c>
      <c r="Z5">
        <v>674</v>
      </c>
      <c r="AA5">
        <v>46.01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Q57"/>
  <sheetViews>
    <sheetView workbookViewId="0">
      <selection activeCell="F2" sqref="F2"/>
    </sheetView>
  </sheetViews>
  <sheetFormatPr defaultRowHeight="14.5" x14ac:dyDescent="0.35"/>
  <cols>
    <col min="2" max="2" width="11.81640625" style="14" customWidth="1"/>
    <col min="3" max="11" width="8.7265625" style="14" customWidth="1"/>
    <col min="12" max="12" width="13.7265625" customWidth="1"/>
    <col min="13" max="13" width="10.54296875" customWidth="1"/>
    <col min="14" max="16" width="10.08984375" customWidth="1"/>
  </cols>
  <sheetData>
    <row r="1" spans="1:17" x14ac:dyDescent="0.35">
      <c r="A1" s="19" t="s">
        <v>62</v>
      </c>
      <c r="B1" s="19" t="s">
        <v>3</v>
      </c>
      <c r="C1" s="22" t="s">
        <v>67</v>
      </c>
      <c r="D1" s="17" t="s">
        <v>108</v>
      </c>
      <c r="E1" s="17" t="s">
        <v>109</v>
      </c>
      <c r="F1" s="17" t="s">
        <v>79</v>
      </c>
      <c r="G1" s="17" t="s">
        <v>80</v>
      </c>
      <c r="H1" s="19" t="s">
        <v>81</v>
      </c>
      <c r="I1" s="19" t="s">
        <v>50</v>
      </c>
      <c r="J1" s="17" t="s">
        <v>63</v>
      </c>
      <c r="K1" s="17" t="s">
        <v>110</v>
      </c>
      <c r="L1" s="17" t="s">
        <v>59</v>
      </c>
      <c r="M1" s="17" t="s">
        <v>60</v>
      </c>
      <c r="N1" s="17" t="s">
        <v>111</v>
      </c>
      <c r="O1" s="28" t="s">
        <v>112</v>
      </c>
      <c r="P1" s="25" t="s">
        <v>113</v>
      </c>
      <c r="Q1" s="25" t="s">
        <v>114</v>
      </c>
    </row>
    <row r="2" spans="1:17" x14ac:dyDescent="0.35">
      <c r="A2" s="20"/>
      <c r="B2" s="20"/>
      <c r="C2" s="22"/>
      <c r="D2" s="17"/>
      <c r="E2" s="17"/>
      <c r="F2" s="17"/>
      <c r="G2" s="17"/>
      <c r="H2" s="19"/>
      <c r="I2" s="19"/>
      <c r="J2" s="17"/>
      <c r="K2" s="2"/>
      <c r="L2" s="2"/>
      <c r="M2" s="2"/>
      <c r="N2" s="2" t="s">
        <v>115</v>
      </c>
      <c r="O2" s="2"/>
      <c r="P2" s="2"/>
      <c r="Q2" s="15"/>
    </row>
    <row r="3" spans="1:17" x14ac:dyDescent="0.35">
      <c r="A3" s="20"/>
      <c r="B3" s="20"/>
      <c r="C3" s="22"/>
      <c r="D3" s="17"/>
      <c r="E3" s="17"/>
      <c r="F3" s="17"/>
      <c r="G3" s="17"/>
      <c r="H3" s="19"/>
      <c r="I3" s="19"/>
      <c r="J3" s="17"/>
      <c r="K3" s="2"/>
      <c r="L3" s="2"/>
      <c r="M3" s="2"/>
      <c r="N3" s="2"/>
      <c r="O3" s="2"/>
      <c r="P3" s="2"/>
      <c r="Q3" s="15"/>
    </row>
    <row r="4" spans="1:17" x14ac:dyDescent="0.35">
      <c r="A4" s="20"/>
      <c r="B4" s="20"/>
      <c r="C4" s="22"/>
      <c r="D4" s="17"/>
      <c r="E4" s="17"/>
      <c r="F4" s="17"/>
      <c r="G4" s="17"/>
      <c r="H4" s="19"/>
      <c r="I4" s="19"/>
      <c r="J4" s="17"/>
      <c r="K4" s="2"/>
      <c r="L4" s="2"/>
      <c r="M4" s="2"/>
      <c r="N4" s="2"/>
      <c r="O4" s="2"/>
      <c r="P4" s="2"/>
      <c r="Q4" s="15"/>
    </row>
    <row r="5" spans="1:17" x14ac:dyDescent="0.35">
      <c r="A5" s="20"/>
      <c r="B5" s="20"/>
      <c r="C5" s="22"/>
      <c r="D5" s="17"/>
      <c r="E5" s="17"/>
      <c r="F5" s="17"/>
      <c r="G5" s="17"/>
      <c r="H5" s="19"/>
      <c r="I5" s="19"/>
      <c r="J5" s="17"/>
      <c r="K5" s="2"/>
      <c r="L5" s="2"/>
      <c r="M5" s="2"/>
      <c r="N5" s="2"/>
      <c r="O5" s="2"/>
      <c r="P5" s="2"/>
      <c r="Q5" s="15"/>
    </row>
    <row r="6" spans="1:17" x14ac:dyDescent="0.35">
      <c r="A6" s="20"/>
      <c r="B6" s="20"/>
      <c r="C6" s="22"/>
      <c r="D6" s="17"/>
      <c r="E6" s="17"/>
      <c r="F6" s="17"/>
      <c r="G6" s="17"/>
      <c r="H6" s="19"/>
      <c r="I6" s="19"/>
      <c r="J6" s="17"/>
      <c r="K6" s="2"/>
      <c r="L6" s="2"/>
      <c r="M6" s="2"/>
      <c r="N6" s="2"/>
      <c r="O6" s="2"/>
      <c r="P6" s="2"/>
      <c r="Q6" s="15"/>
    </row>
    <row r="7" spans="1:17" x14ac:dyDescent="0.35">
      <c r="A7" s="20"/>
      <c r="B7" s="20"/>
      <c r="C7" s="22"/>
      <c r="D7" s="17"/>
      <c r="E7" s="17"/>
      <c r="F7" s="17"/>
      <c r="G7" s="17"/>
      <c r="H7" s="19"/>
      <c r="I7" s="19"/>
      <c r="J7" s="17"/>
      <c r="K7" s="2"/>
      <c r="L7" s="2"/>
      <c r="M7" s="2"/>
      <c r="N7" s="2"/>
      <c r="O7" s="2"/>
      <c r="P7" s="2"/>
      <c r="Q7" s="15"/>
    </row>
    <row r="8" spans="1:17" x14ac:dyDescent="0.35">
      <c r="A8" s="20"/>
      <c r="B8" s="20"/>
      <c r="C8" s="22"/>
      <c r="D8" s="17"/>
      <c r="E8" s="17"/>
      <c r="F8" s="17"/>
      <c r="G8" s="17"/>
      <c r="H8" s="19"/>
      <c r="I8" s="19"/>
      <c r="J8" s="17"/>
      <c r="K8" s="2"/>
      <c r="L8" s="2"/>
      <c r="M8" s="2"/>
      <c r="N8" s="2"/>
      <c r="O8" s="2"/>
      <c r="P8" s="2"/>
      <c r="Q8" s="15"/>
    </row>
    <row r="9" spans="1:17" x14ac:dyDescent="0.35">
      <c r="A9" s="20"/>
      <c r="B9" s="20"/>
      <c r="C9" s="22"/>
      <c r="D9" s="17"/>
      <c r="E9" s="17"/>
      <c r="F9" s="17"/>
      <c r="G9" s="17"/>
      <c r="H9" s="19"/>
      <c r="I9" s="19"/>
      <c r="J9" s="17"/>
      <c r="K9" s="2"/>
      <c r="L9" s="2"/>
      <c r="M9" s="2"/>
      <c r="N9" s="2"/>
      <c r="O9" s="2"/>
      <c r="P9" s="2"/>
      <c r="Q9" s="15"/>
    </row>
    <row r="10" spans="1:17" x14ac:dyDescent="0.35">
      <c r="A10" s="20"/>
      <c r="B10" s="20"/>
      <c r="C10" s="22"/>
      <c r="D10" s="17"/>
      <c r="E10" s="17"/>
      <c r="F10" s="17"/>
      <c r="G10" s="17"/>
      <c r="H10" s="19"/>
      <c r="I10" s="19"/>
      <c r="J10" s="17"/>
      <c r="K10" s="2"/>
      <c r="L10" s="2"/>
      <c r="M10" s="2"/>
      <c r="N10" s="2"/>
      <c r="O10" s="2"/>
      <c r="P10" s="2"/>
      <c r="Q10" s="15"/>
    </row>
    <row r="11" spans="1:17" x14ac:dyDescent="0.35">
      <c r="A11" s="20"/>
      <c r="B11" s="20"/>
      <c r="C11" s="22"/>
      <c r="D11" s="17"/>
      <c r="E11" s="17"/>
      <c r="F11" s="17"/>
      <c r="G11" s="17"/>
      <c r="H11" s="19"/>
      <c r="I11" s="19"/>
      <c r="J11" s="17"/>
      <c r="K11" s="2"/>
      <c r="L11" s="2"/>
      <c r="M11" s="2"/>
      <c r="N11" s="2"/>
      <c r="O11" s="2"/>
      <c r="P11" s="2"/>
      <c r="Q11" s="15"/>
    </row>
    <row r="12" spans="1:17" x14ac:dyDescent="0.35">
      <c r="A12" s="20"/>
      <c r="B12" s="20"/>
      <c r="C12" s="22"/>
      <c r="D12" s="17"/>
      <c r="E12" s="17"/>
      <c r="F12" s="17"/>
      <c r="G12" s="17"/>
      <c r="H12" s="19"/>
      <c r="I12" s="19"/>
      <c r="J12" s="17"/>
      <c r="K12" s="2"/>
      <c r="L12" s="2"/>
      <c r="M12" s="2"/>
      <c r="N12" s="2"/>
      <c r="O12" s="2"/>
      <c r="P12" s="2"/>
      <c r="Q12" s="15"/>
    </row>
    <row r="13" spans="1:17" x14ac:dyDescent="0.35">
      <c r="A13" s="20"/>
      <c r="B13" s="20"/>
      <c r="C13" s="22"/>
      <c r="D13" s="17"/>
      <c r="E13" s="17"/>
      <c r="F13" s="17"/>
      <c r="G13" s="17"/>
      <c r="H13" s="19"/>
      <c r="I13" s="19"/>
      <c r="J13" s="17"/>
      <c r="K13" s="2"/>
      <c r="L13" s="2"/>
      <c r="M13" s="2"/>
      <c r="N13" s="2"/>
      <c r="O13" s="2"/>
      <c r="P13" s="2"/>
      <c r="Q13" s="15"/>
    </row>
    <row r="14" spans="1:17" x14ac:dyDescent="0.35">
      <c r="A14" s="20"/>
      <c r="B14" s="20"/>
      <c r="C14" s="22"/>
      <c r="D14" s="17"/>
      <c r="E14" s="17"/>
      <c r="F14" s="17"/>
      <c r="G14" s="17"/>
      <c r="H14" s="19"/>
      <c r="I14" s="19"/>
      <c r="J14" s="17"/>
      <c r="K14" s="2"/>
      <c r="L14" s="2"/>
      <c r="M14" s="2"/>
      <c r="N14" s="2"/>
      <c r="O14" s="2"/>
      <c r="P14" s="2"/>
      <c r="Q14" s="15"/>
    </row>
    <row r="15" spans="1:17" x14ac:dyDescent="0.35">
      <c r="A15" s="20"/>
      <c r="B15" s="20"/>
      <c r="C15" s="22"/>
      <c r="D15" s="17"/>
      <c r="E15" s="17"/>
      <c r="F15" s="17"/>
      <c r="G15" s="17"/>
      <c r="H15" s="19"/>
      <c r="I15" s="19"/>
      <c r="J15" s="17"/>
      <c r="K15" s="2"/>
      <c r="L15" s="2"/>
      <c r="M15" s="2"/>
      <c r="N15" s="2"/>
      <c r="O15" s="2"/>
      <c r="P15" s="2"/>
      <c r="Q15" s="15"/>
    </row>
    <row r="16" spans="1:17" x14ac:dyDescent="0.35">
      <c r="A16" s="20"/>
      <c r="B16" s="20"/>
      <c r="C16" s="22"/>
      <c r="D16" s="17"/>
      <c r="E16" s="17"/>
      <c r="F16" s="17"/>
      <c r="G16" s="17"/>
      <c r="H16" s="19"/>
      <c r="I16" s="19"/>
      <c r="J16" s="17"/>
      <c r="K16" s="2"/>
      <c r="L16" s="2"/>
      <c r="M16" s="2"/>
      <c r="N16" s="2"/>
      <c r="O16" s="2"/>
      <c r="P16" s="2"/>
      <c r="Q16" s="15"/>
    </row>
    <row r="17" spans="1:17" x14ac:dyDescent="0.35">
      <c r="A17" s="20"/>
      <c r="B17" s="20"/>
      <c r="C17" s="22"/>
      <c r="D17" s="17"/>
      <c r="E17" s="17"/>
      <c r="F17" s="17"/>
      <c r="G17" s="17"/>
      <c r="H17" s="19"/>
      <c r="I17" s="19"/>
      <c r="J17" s="17"/>
      <c r="K17" s="2"/>
      <c r="L17" s="2"/>
      <c r="M17" s="2"/>
      <c r="N17" s="2"/>
      <c r="O17" s="2"/>
      <c r="P17" s="2"/>
      <c r="Q17" s="15"/>
    </row>
    <row r="18" spans="1:17" x14ac:dyDescent="0.35">
      <c r="A18" s="20"/>
      <c r="B18" s="20"/>
      <c r="C18" s="22"/>
      <c r="D18" s="17"/>
      <c r="E18" s="17"/>
      <c r="F18" s="17"/>
      <c r="G18" s="17"/>
      <c r="H18" s="19"/>
      <c r="I18" s="19"/>
      <c r="J18" s="17"/>
      <c r="K18" s="2"/>
      <c r="L18" s="2"/>
      <c r="M18" s="2"/>
      <c r="N18" s="2"/>
      <c r="O18" s="2"/>
      <c r="P18" s="2"/>
      <c r="Q18" s="15"/>
    </row>
    <row r="19" spans="1:17" x14ac:dyDescent="0.35">
      <c r="A19" s="20"/>
      <c r="B19" s="20"/>
      <c r="C19" s="22"/>
      <c r="D19" s="17"/>
      <c r="E19" s="17"/>
      <c r="F19" s="17"/>
      <c r="G19" s="17"/>
      <c r="H19" s="19"/>
      <c r="I19" s="19"/>
      <c r="J19" s="17"/>
      <c r="K19" s="2"/>
      <c r="L19" s="2"/>
      <c r="M19" s="2"/>
      <c r="N19" s="2"/>
      <c r="O19" s="2"/>
      <c r="P19" s="2"/>
      <c r="Q19" s="15"/>
    </row>
    <row r="20" spans="1:17" x14ac:dyDescent="0.35">
      <c r="A20" s="20"/>
      <c r="B20" s="20"/>
      <c r="C20" s="22"/>
      <c r="D20" s="17"/>
      <c r="E20" s="17"/>
      <c r="F20" s="17"/>
      <c r="G20" s="17"/>
      <c r="H20" s="19"/>
      <c r="I20" s="19"/>
      <c r="J20" s="17"/>
      <c r="K20" s="2"/>
      <c r="L20" s="2"/>
      <c r="M20" s="2"/>
      <c r="N20" s="2"/>
      <c r="O20" s="2"/>
      <c r="P20" s="2"/>
      <c r="Q20" s="15"/>
    </row>
    <row r="21" spans="1:17" x14ac:dyDescent="0.35">
      <c r="A21" s="21"/>
      <c r="B21" s="21"/>
      <c r="C21" s="23"/>
      <c r="D21" s="18"/>
      <c r="E21" s="18"/>
      <c r="F21" s="18"/>
      <c r="G21" s="18"/>
      <c r="H21" s="21"/>
      <c r="I21" s="21"/>
      <c r="J21" s="18"/>
      <c r="K21" s="10"/>
      <c r="L21" s="10"/>
      <c r="M21" s="10"/>
      <c r="N21" s="10"/>
      <c r="O21" s="10"/>
      <c r="P21" s="2"/>
      <c r="Q21" s="15"/>
    </row>
    <row r="22" spans="1:17" x14ac:dyDescent="0.35">
      <c r="A22" s="20"/>
      <c r="B22" s="20"/>
      <c r="C22" s="22"/>
      <c r="D22" s="17"/>
      <c r="E22" s="17"/>
      <c r="F22" s="17"/>
      <c r="G22" s="17"/>
      <c r="H22" s="19"/>
      <c r="I22" s="19"/>
      <c r="J22" s="17"/>
      <c r="K22" s="2"/>
      <c r="L22" s="2"/>
      <c r="M22" s="2"/>
      <c r="N22" s="2"/>
      <c r="O22" s="2"/>
      <c r="P22" s="2"/>
      <c r="Q22" s="15"/>
    </row>
    <row r="23" spans="1:17" x14ac:dyDescent="0.35">
      <c r="A23" s="20"/>
      <c r="B23" s="20"/>
      <c r="C23" s="22"/>
      <c r="D23" s="17"/>
      <c r="E23" s="17"/>
      <c r="F23" s="17"/>
      <c r="G23" s="17"/>
      <c r="H23" s="19"/>
      <c r="I23" s="19"/>
      <c r="J23" s="17"/>
      <c r="K23" s="2"/>
      <c r="L23" s="2"/>
      <c r="M23" s="2"/>
      <c r="N23" s="2"/>
      <c r="O23" s="2"/>
      <c r="P23" s="2"/>
      <c r="Q23" s="15"/>
    </row>
    <row r="24" spans="1:17" x14ac:dyDescent="0.35">
      <c r="A24" s="20"/>
      <c r="B24" s="20"/>
      <c r="C24" s="22"/>
      <c r="D24" s="17"/>
      <c r="E24" s="17"/>
      <c r="F24" s="17"/>
      <c r="G24" s="17"/>
      <c r="H24" s="19"/>
      <c r="I24" s="19"/>
      <c r="J24" s="17"/>
      <c r="K24" s="2"/>
      <c r="L24" s="2"/>
      <c r="M24" s="2"/>
      <c r="N24" s="2"/>
      <c r="O24" s="2"/>
      <c r="P24" s="2"/>
      <c r="Q24" s="15"/>
    </row>
    <row r="25" spans="1:17" x14ac:dyDescent="0.35">
      <c r="A25" s="20"/>
      <c r="B25" s="20"/>
      <c r="C25" s="22"/>
      <c r="D25" s="17"/>
      <c r="E25" s="17"/>
      <c r="F25" s="17"/>
      <c r="G25" s="17"/>
      <c r="H25" s="19"/>
      <c r="I25" s="19"/>
      <c r="J25" s="17"/>
      <c r="K25" s="2"/>
      <c r="L25" s="2"/>
      <c r="M25" s="2"/>
      <c r="N25" s="2"/>
      <c r="O25" s="2"/>
      <c r="P25" s="2"/>
      <c r="Q25" s="15"/>
    </row>
    <row r="26" spans="1:17" x14ac:dyDescent="0.35">
      <c r="A26" s="20"/>
      <c r="B26" s="20"/>
      <c r="C26" s="22"/>
      <c r="D26" s="17"/>
      <c r="E26" s="17"/>
      <c r="F26" s="17"/>
      <c r="G26" s="17"/>
      <c r="H26" s="19"/>
      <c r="I26" s="19"/>
      <c r="J26" s="17"/>
      <c r="K26" s="2"/>
      <c r="L26" s="2"/>
      <c r="M26" s="2"/>
      <c r="N26" s="2"/>
      <c r="O26" s="2"/>
      <c r="P26" s="2"/>
      <c r="Q26" s="15"/>
    </row>
    <row r="27" spans="1:17" x14ac:dyDescent="0.35">
      <c r="A27" s="20"/>
      <c r="B27" s="20"/>
      <c r="C27" s="22"/>
      <c r="D27" s="17"/>
      <c r="E27" s="17"/>
      <c r="F27" s="17"/>
      <c r="G27" s="17"/>
      <c r="H27" s="19"/>
      <c r="I27" s="19"/>
      <c r="J27" s="17"/>
      <c r="K27" s="2"/>
      <c r="L27" s="2"/>
      <c r="M27" s="2"/>
      <c r="N27" s="2"/>
      <c r="O27" s="2"/>
      <c r="P27" s="2"/>
      <c r="Q27" s="15"/>
    </row>
    <row r="28" spans="1:17" x14ac:dyDescent="0.35">
      <c r="A28" s="20"/>
      <c r="B28" s="20"/>
      <c r="C28" s="22"/>
      <c r="D28" s="17"/>
      <c r="E28" s="17"/>
      <c r="F28" s="17"/>
      <c r="G28" s="17"/>
      <c r="H28" s="19"/>
      <c r="I28" s="19"/>
      <c r="J28" s="17"/>
      <c r="K28" s="2"/>
      <c r="L28" s="2"/>
      <c r="M28" s="2"/>
      <c r="N28" s="2"/>
      <c r="O28" s="2"/>
      <c r="P28" s="2"/>
      <c r="Q28" s="15"/>
    </row>
    <row r="29" spans="1:17" x14ac:dyDescent="0.35">
      <c r="A29" s="20"/>
      <c r="B29" s="20"/>
      <c r="C29" s="22"/>
      <c r="D29" s="17"/>
      <c r="E29" s="17"/>
      <c r="F29" s="17"/>
      <c r="G29" s="17"/>
      <c r="H29" s="19"/>
      <c r="I29" s="19"/>
      <c r="J29" s="17"/>
      <c r="K29" s="2"/>
      <c r="L29" s="2"/>
      <c r="M29" s="2"/>
      <c r="N29" s="2"/>
      <c r="O29" s="2"/>
      <c r="P29" s="2"/>
      <c r="Q29" s="15"/>
    </row>
    <row r="30" spans="1:17" x14ac:dyDescent="0.35">
      <c r="A30" s="20"/>
      <c r="B30" s="20"/>
      <c r="C30" s="22"/>
      <c r="D30" s="17"/>
      <c r="E30" s="17"/>
      <c r="F30" s="17"/>
      <c r="G30" s="17"/>
      <c r="H30" s="19"/>
      <c r="I30" s="19"/>
      <c r="J30" s="17"/>
      <c r="K30" s="2"/>
      <c r="L30" s="2"/>
      <c r="M30" s="2"/>
      <c r="N30" s="2"/>
      <c r="O30" s="2"/>
      <c r="P30" s="2"/>
      <c r="Q30" s="15"/>
    </row>
    <row r="31" spans="1:17" x14ac:dyDescent="0.35">
      <c r="A31" s="20"/>
      <c r="B31" s="20"/>
      <c r="C31" s="22"/>
      <c r="D31" s="17"/>
      <c r="E31" s="17"/>
      <c r="F31" s="17"/>
      <c r="G31" s="17"/>
      <c r="H31" s="19"/>
      <c r="I31" s="19"/>
      <c r="J31" s="17"/>
      <c r="K31" s="2"/>
      <c r="L31" s="2"/>
      <c r="M31" s="2"/>
      <c r="N31" s="2"/>
      <c r="O31" s="2"/>
      <c r="P31" s="2"/>
      <c r="Q31" s="15"/>
    </row>
    <row r="32" spans="1:17" x14ac:dyDescent="0.35">
      <c r="A32" s="20"/>
      <c r="B32" s="20"/>
      <c r="C32" s="22"/>
      <c r="D32" s="17"/>
      <c r="E32" s="17"/>
      <c r="F32" s="17"/>
      <c r="G32" s="17"/>
      <c r="H32" s="19"/>
      <c r="I32" s="19"/>
      <c r="J32" s="17"/>
      <c r="K32" s="2"/>
      <c r="L32" s="2"/>
      <c r="M32" s="2"/>
      <c r="N32" s="2"/>
      <c r="O32" s="2"/>
      <c r="P32" s="2"/>
      <c r="Q32" s="15"/>
    </row>
    <row r="33" spans="1:17" x14ac:dyDescent="0.35">
      <c r="A33" s="20"/>
      <c r="B33" s="20"/>
      <c r="C33" s="22"/>
      <c r="D33" s="17"/>
      <c r="E33" s="17"/>
      <c r="F33" s="17"/>
      <c r="G33" s="17"/>
      <c r="H33" s="19"/>
      <c r="I33" s="19"/>
      <c r="J33" s="17"/>
      <c r="K33" s="2"/>
      <c r="L33" s="2"/>
      <c r="M33" s="2"/>
      <c r="N33" s="2"/>
      <c r="O33" s="2"/>
      <c r="P33" s="2"/>
      <c r="Q33" s="15"/>
    </row>
    <row r="34" spans="1:17" x14ac:dyDescent="0.35">
      <c r="A34" s="20"/>
      <c r="B34" s="20"/>
      <c r="C34" s="22"/>
      <c r="D34" s="17"/>
      <c r="E34" s="17"/>
      <c r="F34" s="17"/>
      <c r="G34" s="17"/>
      <c r="H34" s="19"/>
      <c r="I34" s="19"/>
      <c r="J34" s="17"/>
      <c r="K34" s="2"/>
      <c r="L34" s="2"/>
      <c r="M34" s="2"/>
      <c r="N34" s="2"/>
      <c r="O34" s="2"/>
      <c r="P34" s="2"/>
      <c r="Q34" s="15"/>
    </row>
    <row r="35" spans="1:17" x14ac:dyDescent="0.35">
      <c r="A35" s="20"/>
      <c r="B35" s="20"/>
      <c r="C35" s="22"/>
      <c r="D35" s="17"/>
      <c r="E35" s="17"/>
      <c r="F35" s="17"/>
      <c r="G35" s="17"/>
      <c r="H35" s="19"/>
      <c r="I35" s="19"/>
      <c r="J35" s="17"/>
      <c r="K35" s="2"/>
      <c r="L35" s="2"/>
      <c r="M35" s="2"/>
      <c r="N35" s="2"/>
      <c r="O35" s="2"/>
      <c r="P35" s="2"/>
      <c r="Q35" s="15"/>
    </row>
    <row r="36" spans="1:17" x14ac:dyDescent="0.35">
      <c r="A36" s="20"/>
      <c r="B36" s="20"/>
      <c r="C36" s="22"/>
      <c r="D36" s="17"/>
      <c r="E36" s="17"/>
      <c r="F36" s="17"/>
      <c r="G36" s="17"/>
      <c r="H36" s="19"/>
      <c r="I36" s="19"/>
      <c r="J36" s="17"/>
      <c r="K36" s="2"/>
      <c r="L36" s="2"/>
      <c r="M36" s="2"/>
      <c r="N36" s="2"/>
      <c r="O36" s="2"/>
      <c r="P36" s="2"/>
      <c r="Q36" s="15"/>
    </row>
    <row r="37" spans="1:17" x14ac:dyDescent="0.35">
      <c r="A37" s="20"/>
      <c r="B37" s="20"/>
      <c r="C37" s="22"/>
      <c r="D37" s="17"/>
      <c r="E37" s="17"/>
      <c r="F37" s="17"/>
      <c r="G37" s="17"/>
      <c r="H37" s="19"/>
      <c r="I37" s="19"/>
      <c r="J37" s="17"/>
      <c r="K37" s="2"/>
      <c r="L37" s="2"/>
      <c r="M37" s="2"/>
      <c r="N37" s="2"/>
      <c r="O37" s="2"/>
      <c r="P37" s="2"/>
      <c r="Q37" s="15"/>
    </row>
    <row r="38" spans="1:17" x14ac:dyDescent="0.35">
      <c r="A38" s="20"/>
      <c r="B38" s="20"/>
      <c r="C38" s="22"/>
      <c r="D38" s="17"/>
      <c r="E38" s="17"/>
      <c r="F38" s="17"/>
      <c r="G38" s="17"/>
      <c r="H38" s="19"/>
      <c r="I38" s="19"/>
      <c r="J38" s="17"/>
      <c r="K38" s="2"/>
      <c r="L38" s="2"/>
      <c r="M38" s="2"/>
      <c r="N38" s="2"/>
      <c r="O38" s="2"/>
      <c r="P38" s="2"/>
      <c r="Q38" s="15"/>
    </row>
    <row r="39" spans="1:17" x14ac:dyDescent="0.35">
      <c r="A39" s="20"/>
      <c r="B39" s="20"/>
      <c r="C39" s="22"/>
      <c r="D39" s="17"/>
      <c r="E39" s="17"/>
      <c r="F39" s="17"/>
      <c r="G39" s="17"/>
      <c r="H39" s="19"/>
      <c r="I39" s="19"/>
      <c r="J39" s="17"/>
      <c r="K39" s="2"/>
      <c r="L39" s="2"/>
      <c r="M39" s="2"/>
      <c r="N39" s="2"/>
      <c r="O39" s="2"/>
      <c r="P39" s="2"/>
      <c r="Q39" s="15"/>
    </row>
    <row r="40" spans="1:17" x14ac:dyDescent="0.35">
      <c r="A40" s="20"/>
      <c r="B40" s="20"/>
      <c r="C40" s="22"/>
      <c r="D40" s="17"/>
      <c r="E40" s="17"/>
      <c r="F40" s="17"/>
      <c r="G40" s="17"/>
      <c r="H40" s="19"/>
      <c r="I40" s="19"/>
      <c r="J40" s="17"/>
      <c r="K40" s="2"/>
      <c r="L40" s="2"/>
      <c r="M40" s="2"/>
      <c r="N40" s="2"/>
      <c r="O40" s="2"/>
      <c r="P40" s="2"/>
      <c r="Q40" s="15"/>
    </row>
    <row r="41" spans="1:17" x14ac:dyDescent="0.35">
      <c r="A41" s="20"/>
      <c r="B41" s="20"/>
      <c r="C41" s="22"/>
      <c r="D41" s="17"/>
      <c r="E41" s="17"/>
      <c r="F41" s="17"/>
      <c r="G41" s="17"/>
      <c r="H41" s="19"/>
      <c r="I41" s="19"/>
      <c r="J41" s="17"/>
      <c r="K41" s="2"/>
      <c r="L41" s="2"/>
      <c r="M41" s="2"/>
      <c r="N41" s="2"/>
      <c r="O41" s="2"/>
      <c r="P41" s="2"/>
      <c r="Q41" s="15"/>
    </row>
    <row r="42" spans="1:17" x14ac:dyDescent="0.35">
      <c r="A42" s="20"/>
      <c r="B42" s="20"/>
      <c r="C42" s="22"/>
      <c r="D42" s="17"/>
      <c r="E42" s="17"/>
      <c r="F42" s="17"/>
      <c r="G42" s="17"/>
      <c r="H42" s="19"/>
      <c r="I42" s="19"/>
      <c r="J42" s="17"/>
      <c r="K42" s="2"/>
      <c r="L42" s="2"/>
      <c r="M42" s="2"/>
      <c r="N42" s="2"/>
      <c r="O42" s="2"/>
      <c r="P42" s="2"/>
      <c r="Q42" s="15"/>
    </row>
    <row r="43" spans="1:17" x14ac:dyDescent="0.35">
      <c r="A43" s="20"/>
      <c r="B43" s="20"/>
      <c r="C43" s="22"/>
      <c r="D43" s="17"/>
      <c r="E43" s="17"/>
      <c r="F43" s="17"/>
      <c r="G43" s="17"/>
      <c r="H43" s="19"/>
      <c r="I43" s="19"/>
      <c r="J43" s="17"/>
      <c r="K43" s="2"/>
      <c r="L43" s="2"/>
      <c r="M43" s="2"/>
      <c r="N43" s="2"/>
      <c r="O43" s="2"/>
      <c r="P43" s="2"/>
      <c r="Q43" s="15"/>
    </row>
    <row r="44" spans="1:17" x14ac:dyDescent="0.35">
      <c r="A44" s="20"/>
      <c r="B44" s="20"/>
      <c r="C44" s="22"/>
      <c r="D44" s="17"/>
      <c r="E44" s="17"/>
      <c r="F44" s="17"/>
      <c r="G44" s="17"/>
      <c r="H44" s="19"/>
      <c r="I44" s="19"/>
      <c r="J44" s="17"/>
      <c r="K44" s="2"/>
      <c r="L44" s="2"/>
      <c r="M44" s="2"/>
      <c r="N44" s="2"/>
      <c r="O44" s="2"/>
      <c r="P44" s="2"/>
      <c r="Q44" s="15"/>
    </row>
    <row r="45" spans="1:17" x14ac:dyDescent="0.35">
      <c r="A45" s="20"/>
      <c r="B45" s="20"/>
      <c r="C45" s="22"/>
      <c r="D45" s="17"/>
      <c r="E45" s="17"/>
      <c r="F45" s="17"/>
      <c r="G45" s="17"/>
      <c r="H45" s="19"/>
      <c r="I45" s="19"/>
      <c r="J45" s="17"/>
      <c r="K45" s="2"/>
      <c r="L45" s="2"/>
      <c r="M45" s="2"/>
      <c r="N45" s="2"/>
      <c r="O45" s="2"/>
      <c r="P45" s="2"/>
      <c r="Q45" s="15"/>
    </row>
    <row r="46" spans="1:17" x14ac:dyDescent="0.35">
      <c r="A46" s="20"/>
      <c r="B46" s="20"/>
      <c r="C46" s="22"/>
      <c r="D46" s="17"/>
      <c r="E46" s="17"/>
      <c r="F46" s="17"/>
      <c r="G46" s="17"/>
      <c r="H46" s="19"/>
      <c r="I46" s="19"/>
      <c r="J46" s="17"/>
      <c r="K46" s="2"/>
      <c r="L46" s="2"/>
      <c r="M46" s="2"/>
      <c r="N46" s="2"/>
      <c r="O46" s="2"/>
      <c r="P46" s="2"/>
      <c r="Q46" s="15"/>
    </row>
    <row r="47" spans="1:17" x14ac:dyDescent="0.35">
      <c r="A47" s="20"/>
      <c r="B47" s="20"/>
      <c r="C47" s="22"/>
      <c r="D47" s="17"/>
      <c r="E47" s="17"/>
      <c r="F47" s="17"/>
      <c r="G47" s="17"/>
      <c r="H47" s="19"/>
      <c r="I47" s="19"/>
      <c r="J47" s="17"/>
      <c r="K47" s="2"/>
      <c r="L47" s="2"/>
      <c r="M47" s="2"/>
      <c r="N47" s="2"/>
      <c r="O47" s="2"/>
      <c r="P47" s="2"/>
      <c r="Q47" s="15"/>
    </row>
    <row r="48" spans="1:17" x14ac:dyDescent="0.35">
      <c r="A48" s="20"/>
      <c r="B48" s="20"/>
      <c r="C48" s="22"/>
      <c r="D48" s="17"/>
      <c r="E48" s="17"/>
      <c r="F48" s="17"/>
      <c r="G48" s="17"/>
      <c r="H48" s="19"/>
      <c r="I48" s="19"/>
      <c r="J48" s="17"/>
      <c r="K48" s="2"/>
      <c r="L48" s="2"/>
      <c r="M48" s="2"/>
      <c r="N48" s="2"/>
      <c r="O48" s="2"/>
      <c r="P48" s="2"/>
      <c r="Q48" s="15"/>
    </row>
    <row r="49" spans="1:17" x14ac:dyDescent="0.35">
      <c r="A49" s="20"/>
      <c r="B49" s="20"/>
      <c r="C49" s="22"/>
      <c r="D49" s="17"/>
      <c r="E49" s="17"/>
      <c r="F49" s="17"/>
      <c r="G49" s="17"/>
      <c r="H49" s="19"/>
      <c r="I49" s="19"/>
      <c r="J49" s="17"/>
      <c r="K49" s="2"/>
      <c r="L49" s="2"/>
      <c r="M49" s="2"/>
      <c r="N49" s="2"/>
      <c r="O49" s="2"/>
      <c r="P49" s="2"/>
      <c r="Q49" s="15"/>
    </row>
    <row r="50" spans="1:17" x14ac:dyDescent="0.35">
      <c r="A50" s="20"/>
      <c r="B50" s="20"/>
      <c r="C50" s="22"/>
      <c r="D50" s="17"/>
      <c r="E50" s="17"/>
      <c r="F50" s="17"/>
      <c r="G50" s="17"/>
      <c r="H50" s="19"/>
      <c r="I50" s="19"/>
      <c r="J50" s="17"/>
      <c r="K50" s="2"/>
      <c r="L50" s="2"/>
      <c r="M50" s="2"/>
      <c r="N50" s="2"/>
      <c r="O50" s="2"/>
      <c r="P50" s="2"/>
      <c r="Q50" s="15"/>
    </row>
    <row r="51" spans="1:17" x14ac:dyDescent="0.35">
      <c r="A51" s="20"/>
      <c r="B51" s="20"/>
      <c r="C51" s="22"/>
      <c r="D51" s="17"/>
      <c r="E51" s="17"/>
      <c r="F51" s="17"/>
      <c r="G51" s="17"/>
      <c r="H51" s="19"/>
      <c r="I51" s="19"/>
      <c r="J51" s="17"/>
      <c r="K51" s="2"/>
      <c r="L51" s="2"/>
      <c r="M51" s="2"/>
      <c r="N51" s="2"/>
      <c r="O51" s="2"/>
      <c r="P51" s="2"/>
      <c r="Q51" s="15"/>
    </row>
    <row r="52" spans="1:17" x14ac:dyDescent="0.35">
      <c r="A52" s="20"/>
      <c r="B52" s="20"/>
      <c r="C52" s="22"/>
      <c r="D52" s="17"/>
      <c r="E52" s="17"/>
      <c r="F52" s="17"/>
      <c r="G52" s="17"/>
      <c r="H52" s="19"/>
      <c r="I52" s="19"/>
      <c r="J52" s="17"/>
      <c r="K52" s="2"/>
      <c r="L52" s="2"/>
      <c r="M52" s="2"/>
      <c r="N52" s="2"/>
      <c r="O52" s="2"/>
      <c r="P52" s="2"/>
      <c r="Q52" s="15"/>
    </row>
    <row r="53" spans="1:17" x14ac:dyDescent="0.35">
      <c r="A53" s="20"/>
      <c r="B53" s="20"/>
      <c r="C53" s="22"/>
      <c r="D53" s="17"/>
      <c r="E53" s="17"/>
      <c r="F53" s="17"/>
      <c r="G53" s="17"/>
      <c r="H53" s="19"/>
      <c r="I53" s="19"/>
      <c r="J53" s="17"/>
      <c r="K53" s="2"/>
      <c r="L53" s="2"/>
      <c r="M53" s="2"/>
      <c r="N53" s="2"/>
      <c r="O53" s="2"/>
      <c r="P53" s="2"/>
      <c r="Q53" s="15"/>
    </row>
    <row r="54" spans="1:17" x14ac:dyDescent="0.35">
      <c r="A54" s="20"/>
      <c r="B54" s="20"/>
      <c r="C54" s="22"/>
      <c r="D54" s="17"/>
      <c r="E54" s="17"/>
      <c r="F54" s="17"/>
      <c r="G54" s="17"/>
      <c r="H54" s="19"/>
      <c r="I54" s="19"/>
      <c r="J54" s="17"/>
      <c r="K54" s="2"/>
      <c r="L54" s="2"/>
      <c r="M54" s="2"/>
      <c r="N54" s="2"/>
      <c r="O54" s="2"/>
      <c r="P54" s="2"/>
      <c r="Q54" s="15"/>
    </row>
    <row r="55" spans="1:17" x14ac:dyDescent="0.35">
      <c r="A55" s="20"/>
      <c r="B55" s="20"/>
      <c r="C55" s="22"/>
      <c r="D55" s="17"/>
      <c r="E55" s="17"/>
      <c r="F55" s="17"/>
      <c r="G55" s="17"/>
      <c r="H55" s="19"/>
      <c r="I55" s="19"/>
      <c r="J55" s="17"/>
      <c r="K55" s="2"/>
      <c r="L55" s="2"/>
      <c r="M55" s="2"/>
      <c r="N55" s="2"/>
      <c r="O55" s="2"/>
      <c r="P55" s="2"/>
      <c r="Q55" s="15"/>
    </row>
    <row r="56" spans="1:17" x14ac:dyDescent="0.35">
      <c r="A56" s="20"/>
      <c r="B56" s="20"/>
      <c r="C56" s="22"/>
      <c r="D56" s="17"/>
      <c r="E56" s="17"/>
      <c r="F56" s="17"/>
      <c r="G56" s="17"/>
      <c r="H56" s="19"/>
      <c r="I56" s="19"/>
      <c r="J56" s="17"/>
      <c r="K56" s="2"/>
      <c r="L56" s="2"/>
      <c r="M56" s="2"/>
      <c r="N56" s="2"/>
      <c r="O56" s="2"/>
      <c r="P56" s="2"/>
      <c r="Q56" s="15"/>
    </row>
    <row r="57" spans="1:17" x14ac:dyDescent="0.35">
      <c r="A57" s="20"/>
      <c r="B57" s="20"/>
      <c r="C57" s="22"/>
      <c r="D57" s="17"/>
      <c r="E57" s="17"/>
      <c r="F57" s="17"/>
      <c r="G57" s="17"/>
      <c r="H57" s="19"/>
      <c r="I57" s="19"/>
      <c r="J57" s="17"/>
      <c r="K57" s="2"/>
      <c r="L57" s="2"/>
      <c r="M57" s="2"/>
      <c r="N57" s="2"/>
      <c r="O57" s="2"/>
      <c r="P57" s="2"/>
      <c r="Q57" s="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F1"/>
  <sheetViews>
    <sheetView workbookViewId="0">
      <selection activeCell="A2" sqref="A2"/>
    </sheetView>
  </sheetViews>
  <sheetFormatPr defaultRowHeight="14.5" x14ac:dyDescent="0.35"/>
  <cols>
    <col min="1" max="4" width="8.7265625" style="14" customWidth="1"/>
  </cols>
  <sheetData>
    <row r="1" spans="1:6" x14ac:dyDescent="0.35">
      <c r="A1" s="14" t="s">
        <v>50</v>
      </c>
      <c r="B1" s="14" t="s">
        <v>116</v>
      </c>
      <c r="C1" s="14" t="s">
        <v>117</v>
      </c>
      <c r="D1" s="14" t="s">
        <v>118</v>
      </c>
      <c r="E1" t="s">
        <v>119</v>
      </c>
      <c r="F1" t="s">
        <v>120</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92D050"/>
  </sheetPr>
  <dimension ref="A1:L16"/>
  <sheetViews>
    <sheetView workbookViewId="0">
      <selection activeCell="A9" sqref="A9"/>
    </sheetView>
  </sheetViews>
  <sheetFormatPr defaultRowHeight="14.5" x14ac:dyDescent="0.35"/>
  <cols>
    <col min="1" max="1" width="18.90625" customWidth="1"/>
  </cols>
  <sheetData>
    <row r="1" spans="1:12" x14ac:dyDescent="0.35">
      <c r="A1" s="1" t="s">
        <v>121</v>
      </c>
    </row>
    <row r="2" spans="1:12" x14ac:dyDescent="0.35">
      <c r="A2" t="s">
        <v>122</v>
      </c>
      <c r="B2" t="s">
        <v>36</v>
      </c>
      <c r="C2" t="s">
        <v>39</v>
      </c>
    </row>
    <row r="3" spans="1:12" x14ac:dyDescent="0.35">
      <c r="A3" t="s">
        <v>31</v>
      </c>
      <c r="B3" t="s">
        <v>43</v>
      </c>
      <c r="C3" t="s">
        <v>37</v>
      </c>
    </row>
    <row r="4" spans="1:12" x14ac:dyDescent="0.35">
      <c r="A4" t="s">
        <v>32</v>
      </c>
      <c r="B4" t="s">
        <v>123</v>
      </c>
      <c r="C4" t="s">
        <v>124</v>
      </c>
      <c r="D4" t="s">
        <v>125</v>
      </c>
      <c r="E4" t="s">
        <v>38</v>
      </c>
      <c r="F4" t="s">
        <v>126</v>
      </c>
      <c r="G4" t="s">
        <v>41</v>
      </c>
      <c r="H4" t="s">
        <v>127</v>
      </c>
      <c r="I4" t="s">
        <v>128</v>
      </c>
      <c r="J4" t="s">
        <v>44</v>
      </c>
      <c r="K4" t="s">
        <v>129</v>
      </c>
      <c r="L4" t="s">
        <v>42</v>
      </c>
    </row>
    <row r="5" spans="1:12" x14ac:dyDescent="0.35">
      <c r="A5" t="s">
        <v>130</v>
      </c>
      <c r="B5" t="s">
        <v>131</v>
      </c>
      <c r="C5" t="s">
        <v>132</v>
      </c>
      <c r="D5" t="s">
        <v>133</v>
      </c>
      <c r="E5" t="s">
        <v>134</v>
      </c>
    </row>
    <row r="7" spans="1:12" x14ac:dyDescent="0.35">
      <c r="A7" s="1" t="s">
        <v>135</v>
      </c>
    </row>
    <row r="8" spans="1:12" x14ac:dyDescent="0.35">
      <c r="A8" t="s">
        <v>59</v>
      </c>
      <c r="B8" t="s">
        <v>136</v>
      </c>
      <c r="C8" t="s">
        <v>137</v>
      </c>
      <c r="D8" t="s">
        <v>138</v>
      </c>
      <c r="E8" t="s">
        <v>139</v>
      </c>
      <c r="F8" t="s">
        <v>140</v>
      </c>
      <c r="G8" t="s">
        <v>135</v>
      </c>
    </row>
    <row r="9" spans="1:12" x14ac:dyDescent="0.35">
      <c r="A9" t="s">
        <v>49</v>
      </c>
      <c r="B9" t="s">
        <v>141</v>
      </c>
      <c r="C9" t="s">
        <v>142</v>
      </c>
    </row>
    <row r="10" spans="1:12" x14ac:dyDescent="0.35">
      <c r="A10" t="s">
        <v>50</v>
      </c>
      <c r="B10" t="s">
        <v>143</v>
      </c>
      <c r="C10" t="s">
        <v>144</v>
      </c>
      <c r="D10" t="s">
        <v>145</v>
      </c>
      <c r="E10" t="s">
        <v>146</v>
      </c>
      <c r="F10" t="s">
        <v>147</v>
      </c>
      <c r="G10" t="s">
        <v>148</v>
      </c>
      <c r="H10" t="s">
        <v>149</v>
      </c>
      <c r="I10" t="s">
        <v>150</v>
      </c>
      <c r="J10" t="s">
        <v>151</v>
      </c>
      <c r="K10" t="s">
        <v>152</v>
      </c>
    </row>
    <row r="11" spans="1:12" x14ac:dyDescent="0.35">
      <c r="A11" t="s">
        <v>54</v>
      </c>
      <c r="B11" t="s">
        <v>153</v>
      </c>
      <c r="C11" t="s">
        <v>154</v>
      </c>
    </row>
    <row r="12" spans="1:12" x14ac:dyDescent="0.35">
      <c r="A12" t="s">
        <v>60</v>
      </c>
      <c r="B12" t="s">
        <v>155</v>
      </c>
      <c r="C12" t="s">
        <v>156</v>
      </c>
      <c r="D12" t="s">
        <v>157</v>
      </c>
    </row>
    <row r="13" spans="1:12" x14ac:dyDescent="0.35">
      <c r="A13" t="s">
        <v>61</v>
      </c>
      <c r="B13" t="s">
        <v>158</v>
      </c>
      <c r="C13" t="s">
        <v>159</v>
      </c>
      <c r="D13" t="s">
        <v>160</v>
      </c>
    </row>
    <row r="15" spans="1:12" x14ac:dyDescent="0.35">
      <c r="A15" s="1" t="s">
        <v>161</v>
      </c>
    </row>
    <row r="16" spans="1:12" x14ac:dyDescent="0.35">
      <c r="A16" t="s">
        <v>59</v>
      </c>
      <c r="B16" t="s">
        <v>136</v>
      </c>
      <c r="C16" t="s">
        <v>137</v>
      </c>
      <c r="D16" t="s">
        <v>138</v>
      </c>
      <c r="E16" t="s">
        <v>139</v>
      </c>
      <c r="F16" t="s">
        <v>140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P10"/>
  <sheetViews>
    <sheetView workbookViewId="0">
      <selection activeCell="A10" sqref="A10"/>
    </sheetView>
  </sheetViews>
  <sheetFormatPr defaultRowHeight="14.5" x14ac:dyDescent="0.35"/>
  <sheetData>
    <row r="1" spans="1:42" x14ac:dyDescent="0.35">
      <c r="A1" t="s">
        <v>63</v>
      </c>
      <c r="B1" t="s">
        <v>64</v>
      </c>
      <c r="C1" t="s">
        <v>65</v>
      </c>
      <c r="D1" t="s">
        <v>66</v>
      </c>
      <c r="E1" t="s">
        <v>67</v>
      </c>
      <c r="F1" t="s">
        <v>162</v>
      </c>
      <c r="G1" t="s">
        <v>163</v>
      </c>
      <c r="H1" t="s">
        <v>164</v>
      </c>
      <c r="I1" t="s">
        <v>165</v>
      </c>
      <c r="J1" t="s">
        <v>108</v>
      </c>
      <c r="K1" t="s">
        <v>109</v>
      </c>
      <c r="L1" t="s">
        <v>166</v>
      </c>
      <c r="M1" t="s">
        <v>167</v>
      </c>
      <c r="N1" t="s">
        <v>79</v>
      </c>
      <c r="O1" t="s">
        <v>80</v>
      </c>
      <c r="P1" t="s">
        <v>81</v>
      </c>
      <c r="Q1" t="s">
        <v>168</v>
      </c>
      <c r="R1" t="s">
        <v>58</v>
      </c>
      <c r="S1" t="s">
        <v>169</v>
      </c>
      <c r="T1" t="s">
        <v>170</v>
      </c>
      <c r="U1" t="s">
        <v>82</v>
      </c>
      <c r="V1" t="s">
        <v>171</v>
      </c>
      <c r="W1" t="s">
        <v>172</v>
      </c>
      <c r="X1" t="s">
        <v>173</v>
      </c>
      <c r="Y1" t="s">
        <v>174</v>
      </c>
      <c r="Z1" t="s">
        <v>175</v>
      </c>
      <c r="AA1" t="s">
        <v>176</v>
      </c>
      <c r="AB1" t="s">
        <v>177</v>
      </c>
      <c r="AC1" t="s">
        <v>178</v>
      </c>
      <c r="AD1" t="s">
        <v>179</v>
      </c>
      <c r="AE1" t="s">
        <v>180</v>
      </c>
      <c r="AF1" t="s">
        <v>181</v>
      </c>
      <c r="AG1" t="s">
        <v>182</v>
      </c>
      <c r="AH1" t="s">
        <v>183</v>
      </c>
      <c r="AI1" t="s">
        <v>184</v>
      </c>
      <c r="AJ1" t="s">
        <v>185</v>
      </c>
      <c r="AK1" t="s">
        <v>84</v>
      </c>
      <c r="AL1" t="s">
        <v>85</v>
      </c>
      <c r="AM1" t="s">
        <v>186</v>
      </c>
      <c r="AN1" t="s">
        <v>187</v>
      </c>
      <c r="AO1" t="s">
        <v>86</v>
      </c>
      <c r="AP1" t="s">
        <v>87</v>
      </c>
    </row>
    <row r="2" spans="1:42" x14ac:dyDescent="0.35">
      <c r="A2" t="s">
        <v>88</v>
      </c>
      <c r="B2" t="s">
        <v>21</v>
      </c>
      <c r="C2">
        <v>25</v>
      </c>
      <c r="D2" t="s">
        <v>103</v>
      </c>
      <c r="E2" t="s">
        <v>188</v>
      </c>
      <c r="F2" t="s">
        <v>189</v>
      </c>
      <c r="G2" t="s">
        <v>190</v>
      </c>
      <c r="J2" t="s">
        <v>104</v>
      </c>
      <c r="K2" t="s">
        <v>105</v>
      </c>
      <c r="L2" t="s">
        <v>106</v>
      </c>
      <c r="M2" t="s">
        <v>191</v>
      </c>
      <c r="N2" t="s">
        <v>104</v>
      </c>
      <c r="O2" t="s">
        <v>105</v>
      </c>
      <c r="P2" t="s">
        <v>106</v>
      </c>
      <c r="T2" t="s">
        <v>192</v>
      </c>
      <c r="U2" t="s">
        <v>107</v>
      </c>
      <c r="V2" t="s">
        <v>193</v>
      </c>
      <c r="Y2" t="s">
        <v>194</v>
      </c>
      <c r="Z2" t="s">
        <v>195</v>
      </c>
      <c r="AA2">
        <v>2</v>
      </c>
      <c r="AD2" t="s">
        <v>196</v>
      </c>
      <c r="AE2" t="s">
        <v>188</v>
      </c>
      <c r="AF2" t="s">
        <v>197</v>
      </c>
      <c r="AH2" t="s">
        <v>198</v>
      </c>
      <c r="AI2" t="s">
        <v>199</v>
      </c>
      <c r="AJ2">
        <v>0</v>
      </c>
      <c r="AK2">
        <v>-58.247500000000002</v>
      </c>
      <c r="AL2">
        <v>603.75300000000004</v>
      </c>
      <c r="AO2">
        <v>674</v>
      </c>
      <c r="AP2">
        <v>46.01</v>
      </c>
    </row>
    <row r="3" spans="1:42" x14ac:dyDescent="0.35">
      <c r="A3" t="s">
        <v>200</v>
      </c>
      <c r="B3" t="s">
        <v>201</v>
      </c>
      <c r="C3">
        <v>9</v>
      </c>
      <c r="D3" t="s">
        <v>202</v>
      </c>
      <c r="E3" t="s">
        <v>202</v>
      </c>
      <c r="F3" t="s">
        <v>203</v>
      </c>
      <c r="G3" t="s">
        <v>203</v>
      </c>
      <c r="J3" t="s">
        <v>204</v>
      </c>
      <c r="N3" t="s">
        <v>204</v>
      </c>
      <c r="P3" t="s">
        <v>205</v>
      </c>
      <c r="T3" t="s">
        <v>192</v>
      </c>
      <c r="U3" t="s">
        <v>107</v>
      </c>
      <c r="V3" t="s">
        <v>193</v>
      </c>
      <c r="Y3" t="s">
        <v>194</v>
      </c>
      <c r="Z3" t="s">
        <v>206</v>
      </c>
      <c r="AA3">
        <v>1</v>
      </c>
      <c r="AD3" t="s">
        <v>207</v>
      </c>
      <c r="AE3" t="s">
        <v>202</v>
      </c>
      <c r="AF3" t="s">
        <v>208</v>
      </c>
      <c r="AG3">
        <v>9</v>
      </c>
      <c r="AH3" t="s">
        <v>198</v>
      </c>
      <c r="AJ3">
        <v>0</v>
      </c>
    </row>
    <row r="4" spans="1:42" x14ac:dyDescent="0.35">
      <c r="A4" t="s">
        <v>200</v>
      </c>
      <c r="B4" t="s">
        <v>27</v>
      </c>
      <c r="C4">
        <v>6</v>
      </c>
      <c r="D4" t="s">
        <v>202</v>
      </c>
      <c r="E4" t="s">
        <v>202</v>
      </c>
      <c r="F4" t="s">
        <v>209</v>
      </c>
      <c r="G4" t="s">
        <v>209</v>
      </c>
      <c r="J4" t="s">
        <v>210</v>
      </c>
      <c r="N4" t="s">
        <v>210</v>
      </c>
      <c r="P4" t="s">
        <v>205</v>
      </c>
      <c r="T4" t="s">
        <v>192</v>
      </c>
      <c r="U4" t="s">
        <v>107</v>
      </c>
      <c r="V4" t="s">
        <v>193</v>
      </c>
      <c r="Y4" t="s">
        <v>194</v>
      </c>
      <c r="Z4" t="s">
        <v>211</v>
      </c>
      <c r="AA4">
        <v>1</v>
      </c>
      <c r="AD4" t="s">
        <v>207</v>
      </c>
      <c r="AE4" t="s">
        <v>202</v>
      </c>
      <c r="AF4" t="s">
        <v>208</v>
      </c>
      <c r="AG4">
        <v>6</v>
      </c>
      <c r="AH4" t="s">
        <v>198</v>
      </c>
      <c r="AJ4">
        <v>0</v>
      </c>
    </row>
    <row r="5" spans="1:42" x14ac:dyDescent="0.35">
      <c r="A5" t="s">
        <v>200</v>
      </c>
      <c r="B5" t="s">
        <v>212</v>
      </c>
      <c r="C5">
        <v>75</v>
      </c>
      <c r="D5" t="s">
        <v>213</v>
      </c>
      <c r="E5" t="s">
        <v>213</v>
      </c>
      <c r="F5" t="s">
        <v>214</v>
      </c>
      <c r="G5" t="s">
        <v>215</v>
      </c>
      <c r="J5" t="s">
        <v>216</v>
      </c>
      <c r="N5" t="s">
        <v>217</v>
      </c>
      <c r="P5" t="s">
        <v>205</v>
      </c>
      <c r="T5" t="s">
        <v>192</v>
      </c>
      <c r="U5" t="s">
        <v>107</v>
      </c>
      <c r="V5" t="s">
        <v>193</v>
      </c>
      <c r="Y5" t="s">
        <v>194</v>
      </c>
      <c r="Z5" t="s">
        <v>218</v>
      </c>
      <c r="AA5">
        <v>2</v>
      </c>
      <c r="AD5" t="s">
        <v>219</v>
      </c>
      <c r="AE5" t="s">
        <v>213</v>
      </c>
      <c r="AF5" t="s">
        <v>197</v>
      </c>
      <c r="AG5">
        <v>75</v>
      </c>
      <c r="AH5" t="s">
        <v>198</v>
      </c>
      <c r="AJ5">
        <v>0</v>
      </c>
    </row>
    <row r="6" spans="1:42" x14ac:dyDescent="0.35">
      <c r="A6" t="s">
        <v>95</v>
      </c>
      <c r="B6" t="s">
        <v>89</v>
      </c>
      <c r="C6">
        <v>1</v>
      </c>
      <c r="D6" t="s">
        <v>96</v>
      </c>
      <c r="E6" t="s">
        <v>96</v>
      </c>
      <c r="F6" t="s">
        <v>220</v>
      </c>
      <c r="G6" t="s">
        <v>221</v>
      </c>
      <c r="J6" t="s">
        <v>97</v>
      </c>
      <c r="K6" t="s">
        <v>98</v>
      </c>
      <c r="L6" t="s">
        <v>222</v>
      </c>
      <c r="M6" t="s">
        <v>223</v>
      </c>
      <c r="N6" t="s">
        <v>97</v>
      </c>
      <c r="O6" t="s">
        <v>98</v>
      </c>
      <c r="P6" t="s">
        <v>99</v>
      </c>
      <c r="Q6" t="s">
        <v>224</v>
      </c>
      <c r="S6" t="s">
        <v>225</v>
      </c>
      <c r="T6" t="s">
        <v>226</v>
      </c>
      <c r="U6" t="s">
        <v>94</v>
      </c>
      <c r="V6" t="s">
        <v>193</v>
      </c>
      <c r="Y6" t="s">
        <v>194</v>
      </c>
      <c r="Z6" t="s">
        <v>227</v>
      </c>
      <c r="AA6">
        <v>2</v>
      </c>
      <c r="AB6" t="s">
        <v>228</v>
      </c>
      <c r="AD6" t="s">
        <v>229</v>
      </c>
      <c r="AE6" t="s">
        <v>96</v>
      </c>
      <c r="AF6" t="s">
        <v>230</v>
      </c>
      <c r="AH6" t="s">
        <v>198</v>
      </c>
      <c r="AI6" t="s">
        <v>222</v>
      </c>
      <c r="AJ6">
        <v>0</v>
      </c>
      <c r="AK6">
        <v>-40</v>
      </c>
    </row>
    <row r="7" spans="1:42" x14ac:dyDescent="0.35">
      <c r="A7" t="s">
        <v>88</v>
      </c>
      <c r="B7" t="s">
        <v>89</v>
      </c>
      <c r="C7">
        <v>1</v>
      </c>
      <c r="D7" t="s">
        <v>96</v>
      </c>
      <c r="E7" t="s">
        <v>96</v>
      </c>
      <c r="F7" t="s">
        <v>231</v>
      </c>
      <c r="G7" t="s">
        <v>232</v>
      </c>
      <c r="H7" t="s">
        <v>233</v>
      </c>
      <c r="J7" t="s">
        <v>100</v>
      </c>
      <c r="K7" t="s">
        <v>101</v>
      </c>
      <c r="L7" t="s">
        <v>234</v>
      </c>
      <c r="M7" t="s">
        <v>235</v>
      </c>
      <c r="N7" t="s">
        <v>100</v>
      </c>
      <c r="O7" t="s">
        <v>101</v>
      </c>
      <c r="P7" t="s">
        <v>102</v>
      </c>
      <c r="Q7" t="s">
        <v>224</v>
      </c>
      <c r="S7" t="s">
        <v>225</v>
      </c>
      <c r="T7" t="s">
        <v>226</v>
      </c>
      <c r="U7" t="s">
        <v>94</v>
      </c>
      <c r="V7" t="s">
        <v>193</v>
      </c>
      <c r="Y7" t="s">
        <v>194</v>
      </c>
      <c r="Z7" t="s">
        <v>236</v>
      </c>
      <c r="AA7">
        <v>2</v>
      </c>
      <c r="AB7" t="s">
        <v>228</v>
      </c>
      <c r="AD7" t="s">
        <v>237</v>
      </c>
      <c r="AE7" t="s">
        <v>96</v>
      </c>
      <c r="AF7" t="s">
        <v>230</v>
      </c>
      <c r="AH7" t="s">
        <v>198</v>
      </c>
      <c r="AI7" t="s">
        <v>234</v>
      </c>
      <c r="AJ7">
        <v>0</v>
      </c>
      <c r="AK7">
        <v>20</v>
      </c>
      <c r="AL7">
        <v>30</v>
      </c>
    </row>
    <row r="8" spans="1:42" x14ac:dyDescent="0.35">
      <c r="A8" t="s">
        <v>88</v>
      </c>
      <c r="B8" t="s">
        <v>89</v>
      </c>
      <c r="C8">
        <v>1</v>
      </c>
      <c r="D8" t="s">
        <v>90</v>
      </c>
      <c r="E8" t="s">
        <v>90</v>
      </c>
      <c r="F8" t="s">
        <v>238</v>
      </c>
      <c r="G8" t="s">
        <v>239</v>
      </c>
      <c r="H8" t="s">
        <v>240</v>
      </c>
      <c r="I8" t="s">
        <v>241</v>
      </c>
      <c r="J8" t="s">
        <v>91</v>
      </c>
      <c r="K8" t="s">
        <v>92</v>
      </c>
      <c r="L8" t="s">
        <v>242</v>
      </c>
      <c r="M8" t="s">
        <v>243</v>
      </c>
      <c r="N8" t="s">
        <v>91</v>
      </c>
      <c r="O8" t="s">
        <v>92</v>
      </c>
      <c r="P8" t="s">
        <v>93</v>
      </c>
      <c r="Q8" t="s">
        <v>224</v>
      </c>
      <c r="S8" t="s">
        <v>244</v>
      </c>
      <c r="T8" t="s">
        <v>245</v>
      </c>
      <c r="U8" t="s">
        <v>94</v>
      </c>
      <c r="V8" t="s">
        <v>193</v>
      </c>
      <c r="Y8" t="s">
        <v>194</v>
      </c>
      <c r="Z8" t="s">
        <v>246</v>
      </c>
      <c r="AA8">
        <v>2</v>
      </c>
      <c r="AB8" t="s">
        <v>228</v>
      </c>
      <c r="AD8" t="s">
        <v>247</v>
      </c>
      <c r="AE8" t="s">
        <v>90</v>
      </c>
      <c r="AF8" t="s">
        <v>230</v>
      </c>
      <c r="AH8" t="s">
        <v>198</v>
      </c>
      <c r="AI8" t="s">
        <v>242</v>
      </c>
      <c r="AJ8">
        <v>0</v>
      </c>
      <c r="AK8">
        <v>-95</v>
      </c>
      <c r="AL8">
        <v>20</v>
      </c>
    </row>
    <row r="9" spans="1:42" x14ac:dyDescent="0.35">
      <c r="A9" t="s">
        <v>200</v>
      </c>
      <c r="B9" t="s">
        <v>21</v>
      </c>
      <c r="C9">
        <v>13</v>
      </c>
      <c r="D9" t="s">
        <v>248</v>
      </c>
      <c r="E9" t="s">
        <v>248</v>
      </c>
      <c r="F9" t="s">
        <v>249</v>
      </c>
      <c r="G9" t="s">
        <v>249</v>
      </c>
      <c r="J9" t="s">
        <v>250</v>
      </c>
      <c r="N9" t="s">
        <v>250</v>
      </c>
      <c r="P9" t="s">
        <v>205</v>
      </c>
      <c r="T9" t="s">
        <v>192</v>
      </c>
      <c r="U9" t="s">
        <v>107</v>
      </c>
      <c r="V9" t="s">
        <v>193</v>
      </c>
      <c r="Y9" t="s">
        <v>194</v>
      </c>
      <c r="Z9" t="s">
        <v>251</v>
      </c>
      <c r="AA9">
        <v>1</v>
      </c>
      <c r="AD9" t="s">
        <v>207</v>
      </c>
      <c r="AE9" t="s">
        <v>248</v>
      </c>
      <c r="AF9" t="s">
        <v>197</v>
      </c>
      <c r="AG9">
        <v>13</v>
      </c>
      <c r="AH9" t="s">
        <v>198</v>
      </c>
      <c r="AJ9">
        <v>0</v>
      </c>
    </row>
    <row r="10" spans="1:42" x14ac:dyDescent="0.35">
      <c r="A10" t="s">
        <v>200</v>
      </c>
      <c r="B10" t="s">
        <v>252</v>
      </c>
      <c r="C10">
        <v>22</v>
      </c>
      <c r="D10" t="s">
        <v>253</v>
      </c>
      <c r="E10" t="s">
        <v>253</v>
      </c>
      <c r="F10" t="s">
        <v>254</v>
      </c>
      <c r="G10" t="s">
        <v>254</v>
      </c>
      <c r="J10" t="s">
        <v>255</v>
      </c>
      <c r="N10" t="s">
        <v>255</v>
      </c>
      <c r="P10" t="s">
        <v>205</v>
      </c>
      <c r="T10" t="s">
        <v>192</v>
      </c>
      <c r="U10" t="s">
        <v>107</v>
      </c>
      <c r="V10" t="s">
        <v>193</v>
      </c>
      <c r="Y10" t="s">
        <v>194</v>
      </c>
      <c r="Z10" t="s">
        <v>256</v>
      </c>
      <c r="AA10">
        <v>1</v>
      </c>
      <c r="AD10" t="s">
        <v>207</v>
      </c>
      <c r="AE10" t="s">
        <v>253</v>
      </c>
      <c r="AF10" t="s">
        <v>141</v>
      </c>
      <c r="AG10">
        <v>22</v>
      </c>
      <c r="AH10" t="s">
        <v>198</v>
      </c>
      <c r="AJ10">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B0F0"/>
  </sheetPr>
  <dimension ref="A1:J171"/>
  <sheetViews>
    <sheetView workbookViewId="0">
      <selection activeCell="M45" sqref="M45"/>
    </sheetView>
  </sheetViews>
  <sheetFormatPr defaultRowHeight="14.5" x14ac:dyDescent="0.35"/>
  <cols>
    <col min="1" max="1" width="31.36328125" customWidth="1"/>
  </cols>
  <sheetData>
    <row r="1" spans="1:10" x14ac:dyDescent="0.35">
      <c r="B1" t="s">
        <v>257</v>
      </c>
      <c r="C1" t="s">
        <v>258</v>
      </c>
      <c r="D1" t="s">
        <v>259</v>
      </c>
      <c r="E1" t="s">
        <v>260</v>
      </c>
      <c r="F1" t="s">
        <v>261</v>
      </c>
      <c r="G1" t="s">
        <v>262</v>
      </c>
      <c r="H1" t="s">
        <v>263</v>
      </c>
      <c r="I1" t="s">
        <v>264</v>
      </c>
      <c r="J1" t="s">
        <v>265</v>
      </c>
    </row>
    <row r="2" spans="1:10" x14ac:dyDescent="0.35">
      <c r="A2" s="1" t="s">
        <v>144</v>
      </c>
    </row>
    <row r="3" spans="1:10" x14ac:dyDescent="0.35">
      <c r="A3" t="s">
        <v>266</v>
      </c>
      <c r="B3" t="s">
        <v>136</v>
      </c>
      <c r="C3" t="s">
        <v>137</v>
      </c>
      <c r="D3" t="s">
        <v>267</v>
      </c>
    </row>
    <row r="4" spans="1:10" x14ac:dyDescent="0.35">
      <c r="A4" t="s">
        <v>268</v>
      </c>
      <c r="B4" t="s">
        <v>269</v>
      </c>
      <c r="C4" t="s">
        <v>121</v>
      </c>
    </row>
    <row r="5" spans="1:10" x14ac:dyDescent="0.35">
      <c r="A5" t="s">
        <v>270</v>
      </c>
      <c r="B5" t="s">
        <v>271</v>
      </c>
      <c r="C5" t="s">
        <v>272</v>
      </c>
    </row>
    <row r="6" spans="1:10" x14ac:dyDescent="0.35">
      <c r="A6" t="s">
        <v>273</v>
      </c>
      <c r="B6" t="s">
        <v>274</v>
      </c>
    </row>
    <row r="7" spans="1:10" x14ac:dyDescent="0.35">
      <c r="A7" t="s">
        <v>275</v>
      </c>
      <c r="B7" t="s">
        <v>276</v>
      </c>
    </row>
    <row r="8" spans="1:10" x14ac:dyDescent="0.35">
      <c r="A8" t="s">
        <v>277</v>
      </c>
      <c r="B8" t="s">
        <v>278</v>
      </c>
    </row>
    <row r="9" spans="1:10" x14ac:dyDescent="0.35">
      <c r="A9" t="s">
        <v>279</v>
      </c>
      <c r="B9" t="s">
        <v>280</v>
      </c>
      <c r="C9" t="s">
        <v>281</v>
      </c>
      <c r="D9" t="s">
        <v>282</v>
      </c>
      <c r="E9" s="31" t="s">
        <v>283</v>
      </c>
    </row>
    <row r="10" spans="1:10" x14ac:dyDescent="0.35">
      <c r="A10" t="s">
        <v>284</v>
      </c>
      <c r="B10" t="s">
        <v>285</v>
      </c>
      <c r="C10" t="s">
        <v>286</v>
      </c>
      <c r="D10" t="s">
        <v>287</v>
      </c>
    </row>
    <row r="11" spans="1:10" x14ac:dyDescent="0.35">
      <c r="A11" t="s">
        <v>288</v>
      </c>
      <c r="B11" t="s">
        <v>289</v>
      </c>
      <c r="C11" t="s">
        <v>290</v>
      </c>
      <c r="D11" t="s">
        <v>291</v>
      </c>
      <c r="E11" s="31" t="s">
        <v>292</v>
      </c>
      <c r="F11" t="s">
        <v>293</v>
      </c>
    </row>
    <row r="12" spans="1:10" x14ac:dyDescent="0.35">
      <c r="A12" t="s">
        <v>294</v>
      </c>
      <c r="B12" t="s">
        <v>295</v>
      </c>
    </row>
    <row r="13" spans="1:10" x14ac:dyDescent="0.35">
      <c r="A13" t="s">
        <v>296</v>
      </c>
      <c r="B13" t="s">
        <v>40</v>
      </c>
    </row>
    <row r="14" spans="1:10" x14ac:dyDescent="0.35">
      <c r="A14" t="s">
        <v>297</v>
      </c>
      <c r="B14" t="s">
        <v>298</v>
      </c>
    </row>
    <row r="15" spans="1:10" x14ac:dyDescent="0.35">
      <c r="A15" t="s">
        <v>299</v>
      </c>
      <c r="B15" t="s">
        <v>40</v>
      </c>
    </row>
    <row r="16" spans="1:10" x14ac:dyDescent="0.35">
      <c r="A16" t="s">
        <v>300</v>
      </c>
      <c r="B16">
        <v>0.1</v>
      </c>
    </row>
    <row r="17" spans="1:7" x14ac:dyDescent="0.35">
      <c r="A17" t="s">
        <v>301</v>
      </c>
      <c r="B17" t="s">
        <v>302</v>
      </c>
      <c r="C17" t="s">
        <v>303</v>
      </c>
      <c r="D17" s="16" t="s">
        <v>304</v>
      </c>
    </row>
    <row r="18" spans="1:7" x14ac:dyDescent="0.35">
      <c r="A18" t="s">
        <v>305</v>
      </c>
      <c r="B18" t="s">
        <v>306</v>
      </c>
      <c r="C18" t="s">
        <v>280</v>
      </c>
      <c r="D18" t="s">
        <v>307</v>
      </c>
      <c r="E18" t="s">
        <v>60</v>
      </c>
      <c r="F18" t="s">
        <v>29</v>
      </c>
      <c r="G18" t="s">
        <v>308</v>
      </c>
    </row>
    <row r="19" spans="1:7" x14ac:dyDescent="0.35">
      <c r="A19" t="s">
        <v>309</v>
      </c>
    </row>
    <row r="21" spans="1:7" x14ac:dyDescent="0.35">
      <c r="A21" s="1" t="s">
        <v>143</v>
      </c>
    </row>
    <row r="22" spans="1:7" x14ac:dyDescent="0.35">
      <c r="A22" t="s">
        <v>266</v>
      </c>
      <c r="B22" t="s">
        <v>310</v>
      </c>
    </row>
    <row r="23" spans="1:7" x14ac:dyDescent="0.35">
      <c r="A23" t="s">
        <v>268</v>
      </c>
      <c r="B23" t="s">
        <v>269</v>
      </c>
      <c r="C23" t="s">
        <v>121</v>
      </c>
    </row>
    <row r="24" spans="1:7" x14ac:dyDescent="0.35">
      <c r="A24" t="s">
        <v>270</v>
      </c>
      <c r="B24" t="s">
        <v>311</v>
      </c>
    </row>
    <row r="25" spans="1:7" x14ac:dyDescent="0.35">
      <c r="A25" t="s">
        <v>273</v>
      </c>
      <c r="B25" t="s">
        <v>312</v>
      </c>
    </row>
    <row r="26" spans="1:7" x14ac:dyDescent="0.35">
      <c r="A26" t="s">
        <v>275</v>
      </c>
      <c r="B26" t="s">
        <v>313</v>
      </c>
    </row>
    <row r="27" spans="1:7" x14ac:dyDescent="0.35">
      <c r="A27" t="s">
        <v>277</v>
      </c>
      <c r="B27" t="s">
        <v>314</v>
      </c>
    </row>
    <row r="28" spans="1:7" x14ac:dyDescent="0.35">
      <c r="A28" t="s">
        <v>279</v>
      </c>
      <c r="B28" t="s">
        <v>134</v>
      </c>
    </row>
    <row r="29" spans="1:7" x14ac:dyDescent="0.35">
      <c r="A29" t="s">
        <v>284</v>
      </c>
      <c r="B29" t="s">
        <v>134</v>
      </c>
    </row>
    <row r="30" spans="1:7" x14ac:dyDescent="0.35">
      <c r="A30" t="s">
        <v>288</v>
      </c>
      <c r="B30" t="s">
        <v>315</v>
      </c>
      <c r="C30" t="s">
        <v>316</v>
      </c>
    </row>
    <row r="31" spans="1:7" x14ac:dyDescent="0.35">
      <c r="A31" t="s">
        <v>294</v>
      </c>
      <c r="B31" t="s">
        <v>317</v>
      </c>
    </row>
    <row r="32" spans="1:7" x14ac:dyDescent="0.35">
      <c r="A32" t="s">
        <v>296</v>
      </c>
      <c r="B32" t="s">
        <v>134</v>
      </c>
    </row>
    <row r="33" spans="1:5" x14ac:dyDescent="0.35">
      <c r="A33" t="s">
        <v>297</v>
      </c>
      <c r="B33" t="s">
        <v>318</v>
      </c>
    </row>
    <row r="34" spans="1:5" x14ac:dyDescent="0.35">
      <c r="A34" t="s">
        <v>299</v>
      </c>
      <c r="B34" t="s">
        <v>40</v>
      </c>
    </row>
    <row r="35" spans="1:5" x14ac:dyDescent="0.35">
      <c r="A35" t="s">
        <v>300</v>
      </c>
      <c r="B35">
        <v>0.1</v>
      </c>
    </row>
    <row r="36" spans="1:5" x14ac:dyDescent="0.35">
      <c r="A36" t="s">
        <v>301</v>
      </c>
      <c r="B36" t="s">
        <v>119</v>
      </c>
      <c r="C36" t="s">
        <v>319</v>
      </c>
      <c r="D36" s="16" t="s">
        <v>304</v>
      </c>
    </row>
    <row r="37" spans="1:5" x14ac:dyDescent="0.35">
      <c r="A37" t="s">
        <v>305</v>
      </c>
      <c r="B37" t="s">
        <v>240</v>
      </c>
      <c r="C37" t="s">
        <v>280</v>
      </c>
      <c r="D37" t="s">
        <v>308</v>
      </c>
    </row>
    <row r="38" spans="1:5" x14ac:dyDescent="0.35">
      <c r="A38" t="s">
        <v>309</v>
      </c>
    </row>
    <row r="40" spans="1:5" x14ac:dyDescent="0.35">
      <c r="A40" s="1" t="s">
        <v>145</v>
      </c>
    </row>
    <row r="41" spans="1:5" x14ac:dyDescent="0.35">
      <c r="A41" t="s">
        <v>266</v>
      </c>
      <c r="B41" t="s">
        <v>136</v>
      </c>
      <c r="C41" t="s">
        <v>137</v>
      </c>
      <c r="D41" t="s">
        <v>267</v>
      </c>
    </row>
    <row r="42" spans="1:5" x14ac:dyDescent="0.35">
      <c r="A42" t="s">
        <v>268</v>
      </c>
      <c r="B42" t="s">
        <v>269</v>
      </c>
      <c r="C42" t="s">
        <v>121</v>
      </c>
    </row>
    <row r="43" spans="1:5" x14ac:dyDescent="0.35">
      <c r="A43" t="s">
        <v>270</v>
      </c>
      <c r="B43" t="s">
        <v>320</v>
      </c>
      <c r="C43" t="s">
        <v>272</v>
      </c>
    </row>
    <row r="44" spans="1:5" x14ac:dyDescent="0.35">
      <c r="A44" t="s">
        <v>273</v>
      </c>
      <c r="B44" t="s">
        <v>274</v>
      </c>
    </row>
    <row r="45" spans="1:5" x14ac:dyDescent="0.35">
      <c r="A45" t="s">
        <v>275</v>
      </c>
      <c r="B45" t="s">
        <v>276</v>
      </c>
    </row>
    <row r="46" spans="1:5" x14ac:dyDescent="0.35">
      <c r="A46" t="s">
        <v>277</v>
      </c>
      <c r="B46" t="s">
        <v>278</v>
      </c>
    </row>
    <row r="47" spans="1:5" x14ac:dyDescent="0.35">
      <c r="A47" t="s">
        <v>279</v>
      </c>
      <c r="B47" t="s">
        <v>280</v>
      </c>
      <c r="C47" t="s">
        <v>321</v>
      </c>
      <c r="D47" t="s">
        <v>282</v>
      </c>
      <c r="E47" s="31" t="s">
        <v>283</v>
      </c>
    </row>
    <row r="48" spans="1:5" x14ac:dyDescent="0.35">
      <c r="A48" t="s">
        <v>284</v>
      </c>
      <c r="B48" t="s">
        <v>285</v>
      </c>
      <c r="C48" t="s">
        <v>286</v>
      </c>
      <c r="D48" t="s">
        <v>287</v>
      </c>
    </row>
    <row r="49" spans="1:7" x14ac:dyDescent="0.35">
      <c r="A49" t="s">
        <v>288</v>
      </c>
      <c r="B49" t="s">
        <v>289</v>
      </c>
      <c r="C49" t="s">
        <v>290</v>
      </c>
      <c r="D49" t="s">
        <v>291</v>
      </c>
      <c r="E49" s="31" t="s">
        <v>292</v>
      </c>
      <c r="F49" t="s">
        <v>293</v>
      </c>
    </row>
    <row r="50" spans="1:7" x14ac:dyDescent="0.35">
      <c r="A50" t="s">
        <v>294</v>
      </c>
      <c r="B50" t="s">
        <v>322</v>
      </c>
      <c r="C50" t="s">
        <v>323</v>
      </c>
    </row>
    <row r="51" spans="1:7" x14ac:dyDescent="0.35">
      <c r="A51" t="s">
        <v>296</v>
      </c>
      <c r="B51" t="s">
        <v>40</v>
      </c>
    </row>
    <row r="52" spans="1:7" x14ac:dyDescent="0.35">
      <c r="A52" t="s">
        <v>297</v>
      </c>
      <c r="B52" t="s">
        <v>298</v>
      </c>
    </row>
    <row r="53" spans="1:7" x14ac:dyDescent="0.35">
      <c r="A53" t="s">
        <v>299</v>
      </c>
      <c r="B53" t="s">
        <v>40</v>
      </c>
    </row>
    <row r="54" spans="1:7" x14ac:dyDescent="0.35">
      <c r="A54" t="s">
        <v>300</v>
      </c>
      <c r="B54">
        <v>0.1</v>
      </c>
    </row>
    <row r="55" spans="1:7" x14ac:dyDescent="0.35">
      <c r="A55" t="s">
        <v>301</v>
      </c>
      <c r="B55" t="s">
        <v>302</v>
      </c>
      <c r="C55" t="s">
        <v>303</v>
      </c>
      <c r="D55" s="16" t="s">
        <v>304</v>
      </c>
    </row>
    <row r="56" spans="1:7" x14ac:dyDescent="0.35">
      <c r="A56" t="s">
        <v>305</v>
      </c>
      <c r="B56" t="s">
        <v>324</v>
      </c>
      <c r="C56" t="s">
        <v>280</v>
      </c>
      <c r="D56" t="s">
        <v>307</v>
      </c>
      <c r="E56" t="s">
        <v>60</v>
      </c>
      <c r="F56" t="s">
        <v>29</v>
      </c>
      <c r="G56" t="s">
        <v>308</v>
      </c>
    </row>
    <row r="57" spans="1:7" x14ac:dyDescent="0.35">
      <c r="A57" t="s">
        <v>309</v>
      </c>
    </row>
    <row r="59" spans="1:7" x14ac:dyDescent="0.35">
      <c r="A59" s="1" t="s">
        <v>146</v>
      </c>
    </row>
    <row r="60" spans="1:7" x14ac:dyDescent="0.35">
      <c r="A60" t="s">
        <v>266</v>
      </c>
      <c r="B60" t="s">
        <v>136</v>
      </c>
      <c r="C60" t="s">
        <v>137</v>
      </c>
      <c r="D60" t="s">
        <v>267</v>
      </c>
      <c r="E60" t="s">
        <v>325</v>
      </c>
    </row>
    <row r="61" spans="1:7" x14ac:dyDescent="0.35">
      <c r="A61" t="s">
        <v>268</v>
      </c>
      <c r="B61" t="s">
        <v>269</v>
      </c>
      <c r="C61" t="s">
        <v>121</v>
      </c>
    </row>
    <row r="62" spans="1:7" x14ac:dyDescent="0.35">
      <c r="A62" t="s">
        <v>270</v>
      </c>
      <c r="B62" t="s">
        <v>326</v>
      </c>
      <c r="C62" t="s">
        <v>272</v>
      </c>
    </row>
    <row r="63" spans="1:7" x14ac:dyDescent="0.35">
      <c r="A63" t="s">
        <v>273</v>
      </c>
      <c r="B63" t="s">
        <v>274</v>
      </c>
    </row>
    <row r="64" spans="1:7" x14ac:dyDescent="0.35">
      <c r="A64" t="s">
        <v>275</v>
      </c>
      <c r="B64" t="s">
        <v>276</v>
      </c>
    </row>
    <row r="65" spans="1:7" x14ac:dyDescent="0.35">
      <c r="A65" t="s">
        <v>277</v>
      </c>
      <c r="B65" t="s">
        <v>278</v>
      </c>
    </row>
    <row r="66" spans="1:7" x14ac:dyDescent="0.35">
      <c r="A66" t="s">
        <v>279</v>
      </c>
      <c r="B66" t="s">
        <v>280</v>
      </c>
      <c r="C66" t="s">
        <v>281</v>
      </c>
      <c r="D66" t="s">
        <v>282</v>
      </c>
      <c r="E66" s="31" t="s">
        <v>283</v>
      </c>
    </row>
    <row r="67" spans="1:7" x14ac:dyDescent="0.35">
      <c r="A67" t="s">
        <v>284</v>
      </c>
      <c r="B67" t="s">
        <v>285</v>
      </c>
      <c r="C67" t="s">
        <v>286</v>
      </c>
      <c r="D67" t="s">
        <v>287</v>
      </c>
    </row>
    <row r="68" spans="1:7" x14ac:dyDescent="0.35">
      <c r="A68" t="s">
        <v>288</v>
      </c>
      <c r="B68" t="s">
        <v>289</v>
      </c>
      <c r="C68" t="s">
        <v>290</v>
      </c>
      <c r="D68" t="s">
        <v>291</v>
      </c>
      <c r="E68" s="31" t="s">
        <v>292</v>
      </c>
      <c r="F68" t="s">
        <v>293</v>
      </c>
    </row>
    <row r="69" spans="1:7" x14ac:dyDescent="0.35">
      <c r="A69" t="s">
        <v>294</v>
      </c>
      <c r="B69" t="s">
        <v>322</v>
      </c>
      <c r="C69" t="s">
        <v>323</v>
      </c>
    </row>
    <row r="70" spans="1:7" x14ac:dyDescent="0.35">
      <c r="A70" t="s">
        <v>296</v>
      </c>
      <c r="B70" t="s">
        <v>40</v>
      </c>
    </row>
    <row r="71" spans="1:7" x14ac:dyDescent="0.35">
      <c r="A71" t="s">
        <v>297</v>
      </c>
      <c r="B71" t="s">
        <v>318</v>
      </c>
    </row>
    <row r="72" spans="1:7" x14ac:dyDescent="0.35">
      <c r="A72" t="s">
        <v>299</v>
      </c>
      <c r="B72" t="s">
        <v>40</v>
      </c>
    </row>
    <row r="73" spans="1:7" x14ac:dyDescent="0.35">
      <c r="A73" t="s">
        <v>300</v>
      </c>
      <c r="B73">
        <v>0.1</v>
      </c>
    </row>
    <row r="74" spans="1:7" x14ac:dyDescent="0.35">
      <c r="A74" t="s">
        <v>301</v>
      </c>
      <c r="B74" t="s">
        <v>302</v>
      </c>
      <c r="C74" t="s">
        <v>303</v>
      </c>
      <c r="D74" s="16" t="s">
        <v>304</v>
      </c>
    </row>
    <row r="75" spans="1:7" x14ac:dyDescent="0.35">
      <c r="A75" t="s">
        <v>305</v>
      </c>
      <c r="B75" t="s">
        <v>327</v>
      </c>
      <c r="C75" t="s">
        <v>280</v>
      </c>
      <c r="D75" t="s">
        <v>307</v>
      </c>
      <c r="E75" t="s">
        <v>60</v>
      </c>
      <c r="F75" t="s">
        <v>29</v>
      </c>
      <c r="G75" t="s">
        <v>308</v>
      </c>
    </row>
    <row r="76" spans="1:7" x14ac:dyDescent="0.35">
      <c r="A76" t="s">
        <v>309</v>
      </c>
    </row>
    <row r="78" spans="1:7" x14ac:dyDescent="0.35">
      <c r="A78" s="1" t="s">
        <v>147</v>
      </c>
    </row>
    <row r="79" spans="1:7" x14ac:dyDescent="0.35">
      <c r="A79" t="s">
        <v>266</v>
      </c>
      <c r="B79" t="s">
        <v>136</v>
      </c>
      <c r="C79" t="s">
        <v>137</v>
      </c>
      <c r="D79" t="s">
        <v>267</v>
      </c>
      <c r="E79" t="s">
        <v>325</v>
      </c>
    </row>
    <row r="80" spans="1:7" x14ac:dyDescent="0.35">
      <c r="A80" t="s">
        <v>268</v>
      </c>
      <c r="B80" t="s">
        <v>269</v>
      </c>
      <c r="C80" t="s">
        <v>121</v>
      </c>
    </row>
    <row r="81" spans="1:8" x14ac:dyDescent="0.35">
      <c r="A81" t="s">
        <v>270</v>
      </c>
      <c r="B81" t="s">
        <v>326</v>
      </c>
      <c r="C81" t="s">
        <v>328</v>
      </c>
    </row>
    <row r="82" spans="1:8" x14ac:dyDescent="0.35">
      <c r="A82" t="s">
        <v>273</v>
      </c>
      <c r="B82" s="31" t="s">
        <v>329</v>
      </c>
    </row>
    <row r="83" spans="1:8" x14ac:dyDescent="0.35">
      <c r="A83" t="s">
        <v>275</v>
      </c>
      <c r="B83" t="s">
        <v>276</v>
      </c>
    </row>
    <row r="84" spans="1:8" x14ac:dyDescent="0.35">
      <c r="A84" t="s">
        <v>277</v>
      </c>
      <c r="B84" t="s">
        <v>330</v>
      </c>
    </row>
    <row r="85" spans="1:8" x14ac:dyDescent="0.35">
      <c r="A85" t="s">
        <v>279</v>
      </c>
      <c r="B85" t="s">
        <v>280</v>
      </c>
      <c r="C85" t="s">
        <v>281</v>
      </c>
      <c r="D85" t="s">
        <v>282</v>
      </c>
      <c r="E85" s="31" t="s">
        <v>283</v>
      </c>
    </row>
    <row r="86" spans="1:8" x14ac:dyDescent="0.35">
      <c r="A86" t="s">
        <v>284</v>
      </c>
      <c r="B86" t="s">
        <v>285</v>
      </c>
      <c r="C86" t="s">
        <v>286</v>
      </c>
      <c r="D86" t="s">
        <v>287</v>
      </c>
    </row>
    <row r="87" spans="1:8" x14ac:dyDescent="0.35">
      <c r="A87" t="s">
        <v>288</v>
      </c>
      <c r="B87" t="s">
        <v>289</v>
      </c>
      <c r="C87" t="s">
        <v>290</v>
      </c>
      <c r="D87" t="s">
        <v>291</v>
      </c>
      <c r="E87" s="31" t="s">
        <v>292</v>
      </c>
      <c r="F87" t="s">
        <v>293</v>
      </c>
      <c r="G87" t="s">
        <v>331</v>
      </c>
    </row>
    <row r="88" spans="1:8" x14ac:dyDescent="0.35">
      <c r="A88" t="s">
        <v>294</v>
      </c>
      <c r="B88" t="s">
        <v>332</v>
      </c>
      <c r="C88" t="s">
        <v>323</v>
      </c>
    </row>
    <row r="89" spans="1:8" x14ac:dyDescent="0.35">
      <c r="A89" t="s">
        <v>296</v>
      </c>
      <c r="B89" t="s">
        <v>40</v>
      </c>
    </row>
    <row r="90" spans="1:8" x14ac:dyDescent="0.35">
      <c r="A90" t="s">
        <v>297</v>
      </c>
      <c r="B90" t="s">
        <v>318</v>
      </c>
    </row>
    <row r="91" spans="1:8" x14ac:dyDescent="0.35">
      <c r="A91" t="s">
        <v>299</v>
      </c>
      <c r="B91" t="s">
        <v>40</v>
      </c>
    </row>
    <row r="92" spans="1:8" x14ac:dyDescent="0.35">
      <c r="A92" t="s">
        <v>300</v>
      </c>
      <c r="B92">
        <v>0.1</v>
      </c>
    </row>
    <row r="93" spans="1:8" x14ac:dyDescent="0.35">
      <c r="A93" t="s">
        <v>301</v>
      </c>
      <c r="B93" t="s">
        <v>302</v>
      </c>
      <c r="C93" t="s">
        <v>303</v>
      </c>
      <c r="D93" s="16" t="s">
        <v>304</v>
      </c>
    </row>
    <row r="94" spans="1:8" x14ac:dyDescent="0.35">
      <c r="A94" t="s">
        <v>305</v>
      </c>
      <c r="B94" t="s">
        <v>333</v>
      </c>
      <c r="C94" t="s">
        <v>280</v>
      </c>
      <c r="D94" t="s">
        <v>307</v>
      </c>
      <c r="E94" t="s">
        <v>60</v>
      </c>
      <c r="F94" t="s">
        <v>29</v>
      </c>
      <c r="G94" t="s">
        <v>308</v>
      </c>
      <c r="H94" t="s">
        <v>334</v>
      </c>
    </row>
    <row r="95" spans="1:8" x14ac:dyDescent="0.35">
      <c r="A95" t="s">
        <v>309</v>
      </c>
    </row>
    <row r="97" spans="1:8" x14ac:dyDescent="0.35">
      <c r="A97" s="1" t="s">
        <v>148</v>
      </c>
    </row>
    <row r="98" spans="1:8" x14ac:dyDescent="0.35">
      <c r="A98" t="s">
        <v>266</v>
      </c>
      <c r="B98" t="s">
        <v>136</v>
      </c>
      <c r="C98" t="s">
        <v>137</v>
      </c>
      <c r="D98" t="s">
        <v>267</v>
      </c>
      <c r="E98" t="s">
        <v>335</v>
      </c>
    </row>
    <row r="99" spans="1:8" x14ac:dyDescent="0.35">
      <c r="A99" t="s">
        <v>268</v>
      </c>
      <c r="B99" t="s">
        <v>269</v>
      </c>
      <c r="C99" t="s">
        <v>121</v>
      </c>
    </row>
    <row r="100" spans="1:8" x14ac:dyDescent="0.35">
      <c r="A100" t="s">
        <v>270</v>
      </c>
      <c r="B100" t="s">
        <v>336</v>
      </c>
      <c r="C100" t="s">
        <v>337</v>
      </c>
    </row>
    <row r="101" spans="1:8" x14ac:dyDescent="0.35">
      <c r="A101" t="s">
        <v>273</v>
      </c>
      <c r="B101" s="31" t="s">
        <v>338</v>
      </c>
    </row>
    <row r="102" spans="1:8" x14ac:dyDescent="0.35">
      <c r="A102" t="s">
        <v>275</v>
      </c>
      <c r="B102" t="s">
        <v>339</v>
      </c>
    </row>
    <row r="103" spans="1:8" x14ac:dyDescent="0.35">
      <c r="A103" t="s">
        <v>277</v>
      </c>
      <c r="B103" s="31" t="s">
        <v>340</v>
      </c>
    </row>
    <row r="104" spans="1:8" x14ac:dyDescent="0.35">
      <c r="A104" t="s">
        <v>279</v>
      </c>
      <c r="B104" t="s">
        <v>280</v>
      </c>
      <c r="C104" t="s">
        <v>281</v>
      </c>
      <c r="D104" t="s">
        <v>282</v>
      </c>
      <c r="E104" t="s">
        <v>283</v>
      </c>
    </row>
    <row r="105" spans="1:8" x14ac:dyDescent="0.35">
      <c r="A105" t="s">
        <v>284</v>
      </c>
      <c r="B105" t="s">
        <v>285</v>
      </c>
      <c r="C105" t="s">
        <v>286</v>
      </c>
      <c r="D105" t="s">
        <v>287</v>
      </c>
    </row>
    <row r="106" spans="1:8" x14ac:dyDescent="0.35">
      <c r="A106" t="s">
        <v>288</v>
      </c>
      <c r="B106" t="s">
        <v>289</v>
      </c>
      <c r="C106" t="s">
        <v>290</v>
      </c>
      <c r="D106" t="s">
        <v>291</v>
      </c>
      <c r="E106" s="31" t="s">
        <v>292</v>
      </c>
      <c r="F106" t="s">
        <v>293</v>
      </c>
      <c r="G106" t="s">
        <v>331</v>
      </c>
      <c r="H106" t="s">
        <v>341</v>
      </c>
    </row>
    <row r="107" spans="1:8" x14ac:dyDescent="0.35">
      <c r="A107" t="s">
        <v>294</v>
      </c>
      <c r="B107" t="s">
        <v>332</v>
      </c>
      <c r="C107" t="s">
        <v>323</v>
      </c>
      <c r="D107" t="s">
        <v>342</v>
      </c>
    </row>
    <row r="108" spans="1:8" x14ac:dyDescent="0.35">
      <c r="A108" t="s">
        <v>296</v>
      </c>
      <c r="B108" t="s">
        <v>40</v>
      </c>
    </row>
    <row r="109" spans="1:8" x14ac:dyDescent="0.35">
      <c r="A109" t="s">
        <v>297</v>
      </c>
      <c r="B109" t="s">
        <v>343</v>
      </c>
    </row>
    <row r="110" spans="1:8" x14ac:dyDescent="0.35">
      <c r="A110" t="s">
        <v>299</v>
      </c>
      <c r="B110" t="s">
        <v>40</v>
      </c>
    </row>
    <row r="111" spans="1:8" x14ac:dyDescent="0.35">
      <c r="A111" t="s">
        <v>300</v>
      </c>
      <c r="B111">
        <v>0.1</v>
      </c>
    </row>
    <row r="112" spans="1:8" x14ac:dyDescent="0.35">
      <c r="A112" t="s">
        <v>301</v>
      </c>
      <c r="B112" t="s">
        <v>302</v>
      </c>
      <c r="C112" t="s">
        <v>303</v>
      </c>
      <c r="D112" s="16" t="s">
        <v>304</v>
      </c>
    </row>
    <row r="113" spans="1:9" x14ac:dyDescent="0.35">
      <c r="A113" t="s">
        <v>305</v>
      </c>
      <c r="B113" t="s">
        <v>344</v>
      </c>
      <c r="C113" t="s">
        <v>280</v>
      </c>
      <c r="D113" t="s">
        <v>307</v>
      </c>
      <c r="E113" t="s">
        <v>60</v>
      </c>
      <c r="F113" t="s">
        <v>29</v>
      </c>
      <c r="G113" t="s">
        <v>308</v>
      </c>
      <c r="H113" t="s">
        <v>334</v>
      </c>
    </row>
    <row r="114" spans="1:9" x14ac:dyDescent="0.35">
      <c r="A114" t="s">
        <v>309</v>
      </c>
      <c r="B114" t="s">
        <v>345</v>
      </c>
    </row>
    <row r="116" spans="1:9" x14ac:dyDescent="0.35">
      <c r="A116" s="1" t="s">
        <v>149</v>
      </c>
    </row>
    <row r="117" spans="1:9" x14ac:dyDescent="0.35">
      <c r="A117" t="s">
        <v>266</v>
      </c>
      <c r="B117" t="s">
        <v>136</v>
      </c>
      <c r="C117" t="s">
        <v>137</v>
      </c>
      <c r="D117" t="s">
        <v>267</v>
      </c>
      <c r="E117" t="s">
        <v>335</v>
      </c>
    </row>
    <row r="118" spans="1:9" x14ac:dyDescent="0.35">
      <c r="A118" t="s">
        <v>268</v>
      </c>
      <c r="B118" t="s">
        <v>269</v>
      </c>
      <c r="C118" t="s">
        <v>121</v>
      </c>
    </row>
    <row r="119" spans="1:9" x14ac:dyDescent="0.35">
      <c r="A119" t="s">
        <v>270</v>
      </c>
      <c r="B119" t="s">
        <v>346</v>
      </c>
      <c r="C119" t="s">
        <v>347</v>
      </c>
    </row>
    <row r="120" spans="1:9" x14ac:dyDescent="0.35">
      <c r="A120" t="s">
        <v>273</v>
      </c>
      <c r="B120" s="31" t="s">
        <v>338</v>
      </c>
    </row>
    <row r="121" spans="1:9" x14ac:dyDescent="0.35">
      <c r="A121" t="s">
        <v>275</v>
      </c>
      <c r="B121" t="s">
        <v>339</v>
      </c>
    </row>
    <row r="122" spans="1:9" x14ac:dyDescent="0.35">
      <c r="A122" t="s">
        <v>277</v>
      </c>
      <c r="B122" s="31" t="s">
        <v>348</v>
      </c>
      <c r="C122" t="s">
        <v>349</v>
      </c>
    </row>
    <row r="123" spans="1:9" x14ac:dyDescent="0.35">
      <c r="A123" t="s">
        <v>279</v>
      </c>
      <c r="B123" t="s">
        <v>280</v>
      </c>
      <c r="C123" t="s">
        <v>281</v>
      </c>
      <c r="D123" t="s">
        <v>282</v>
      </c>
      <c r="E123" t="s">
        <v>350</v>
      </c>
    </row>
    <row r="124" spans="1:9" x14ac:dyDescent="0.35">
      <c r="A124" t="s">
        <v>284</v>
      </c>
      <c r="B124" t="s">
        <v>285</v>
      </c>
      <c r="C124" t="s">
        <v>286</v>
      </c>
      <c r="D124" t="s">
        <v>287</v>
      </c>
    </row>
    <row r="125" spans="1:9" x14ac:dyDescent="0.35">
      <c r="A125" t="s">
        <v>288</v>
      </c>
      <c r="B125" t="s">
        <v>289</v>
      </c>
      <c r="C125" t="s">
        <v>290</v>
      </c>
      <c r="D125" t="s">
        <v>291</v>
      </c>
      <c r="E125" s="31" t="s">
        <v>351</v>
      </c>
      <c r="F125" t="s">
        <v>352</v>
      </c>
      <c r="G125" t="s">
        <v>353</v>
      </c>
      <c r="H125" t="s">
        <v>354</v>
      </c>
      <c r="I125" t="s">
        <v>355</v>
      </c>
    </row>
    <row r="126" spans="1:9" x14ac:dyDescent="0.35">
      <c r="A126" t="s">
        <v>294</v>
      </c>
      <c r="B126" t="s">
        <v>332</v>
      </c>
      <c r="C126" t="s">
        <v>323</v>
      </c>
    </row>
    <row r="127" spans="1:9" x14ac:dyDescent="0.35">
      <c r="A127" t="s">
        <v>296</v>
      </c>
      <c r="B127" t="s">
        <v>40</v>
      </c>
    </row>
    <row r="128" spans="1:9" x14ac:dyDescent="0.35">
      <c r="A128" t="s">
        <v>297</v>
      </c>
      <c r="B128" t="s">
        <v>343</v>
      </c>
    </row>
    <row r="129" spans="1:7" x14ac:dyDescent="0.35">
      <c r="A129" t="s">
        <v>299</v>
      </c>
      <c r="B129" t="s">
        <v>40</v>
      </c>
    </row>
    <row r="130" spans="1:7" x14ac:dyDescent="0.35">
      <c r="A130" t="s">
        <v>300</v>
      </c>
      <c r="B130">
        <v>0.1</v>
      </c>
    </row>
    <row r="131" spans="1:7" x14ac:dyDescent="0.35">
      <c r="A131" t="s">
        <v>301</v>
      </c>
      <c r="B131" t="s">
        <v>302</v>
      </c>
      <c r="C131" t="s">
        <v>303</v>
      </c>
      <c r="D131" s="16" t="s">
        <v>304</v>
      </c>
    </row>
    <row r="132" spans="1:7" x14ac:dyDescent="0.35">
      <c r="A132" t="s">
        <v>305</v>
      </c>
      <c r="B132" t="s">
        <v>356</v>
      </c>
      <c r="C132" t="s">
        <v>280</v>
      </c>
      <c r="D132" t="s">
        <v>307</v>
      </c>
      <c r="E132" t="s">
        <v>60</v>
      </c>
      <c r="F132" t="s">
        <v>308</v>
      </c>
      <c r="G132" t="s">
        <v>334</v>
      </c>
    </row>
    <row r="133" spans="1:7" x14ac:dyDescent="0.35">
      <c r="A133" t="s">
        <v>309</v>
      </c>
      <c r="B133" t="s">
        <v>357</v>
      </c>
      <c r="C133" t="s">
        <v>358</v>
      </c>
    </row>
    <row r="135" spans="1:7" x14ac:dyDescent="0.35">
      <c r="A135" s="1" t="s">
        <v>150</v>
      </c>
    </row>
    <row r="136" spans="1:7" x14ac:dyDescent="0.35">
      <c r="A136" t="s">
        <v>266</v>
      </c>
      <c r="B136" t="s">
        <v>136</v>
      </c>
      <c r="C136" t="s">
        <v>137</v>
      </c>
      <c r="D136" t="s">
        <v>267</v>
      </c>
      <c r="E136" t="s">
        <v>335</v>
      </c>
    </row>
    <row r="137" spans="1:7" x14ac:dyDescent="0.35">
      <c r="A137" t="s">
        <v>268</v>
      </c>
      <c r="B137" t="s">
        <v>269</v>
      </c>
      <c r="C137" t="s">
        <v>121</v>
      </c>
    </row>
    <row r="138" spans="1:7" x14ac:dyDescent="0.35">
      <c r="A138" t="s">
        <v>270</v>
      </c>
      <c r="B138" t="s">
        <v>346</v>
      </c>
      <c r="C138" t="s">
        <v>359</v>
      </c>
    </row>
    <row r="139" spans="1:7" x14ac:dyDescent="0.35">
      <c r="A139" t="s">
        <v>273</v>
      </c>
      <c r="B139" s="31" t="s">
        <v>360</v>
      </c>
    </row>
    <row r="140" spans="1:7" x14ac:dyDescent="0.35">
      <c r="A140" t="s">
        <v>275</v>
      </c>
      <c r="B140" t="s">
        <v>361</v>
      </c>
    </row>
    <row r="141" spans="1:7" x14ac:dyDescent="0.35">
      <c r="A141" t="s">
        <v>277</v>
      </c>
      <c r="B141" s="31" t="s">
        <v>362</v>
      </c>
    </row>
    <row r="142" spans="1:7" x14ac:dyDescent="0.35">
      <c r="A142" t="s">
        <v>279</v>
      </c>
      <c r="B142" t="s">
        <v>280</v>
      </c>
      <c r="C142" t="s">
        <v>281</v>
      </c>
      <c r="D142" t="s">
        <v>282</v>
      </c>
      <c r="E142" t="s">
        <v>350</v>
      </c>
    </row>
    <row r="143" spans="1:7" x14ac:dyDescent="0.35">
      <c r="A143" t="s">
        <v>284</v>
      </c>
      <c r="B143" t="s">
        <v>285</v>
      </c>
      <c r="C143" t="s">
        <v>286</v>
      </c>
      <c r="D143" t="s">
        <v>287</v>
      </c>
    </row>
    <row r="144" spans="1:7" x14ac:dyDescent="0.35">
      <c r="A144" t="s">
        <v>288</v>
      </c>
      <c r="B144" t="s">
        <v>289</v>
      </c>
      <c r="C144" t="s">
        <v>290</v>
      </c>
      <c r="D144" t="s">
        <v>291</v>
      </c>
      <c r="E144" s="31" t="s">
        <v>351</v>
      </c>
      <c r="F144" t="s">
        <v>353</v>
      </c>
      <c r="G144" t="s">
        <v>354</v>
      </c>
    </row>
    <row r="145" spans="1:7" x14ac:dyDescent="0.35">
      <c r="A145" t="s">
        <v>294</v>
      </c>
      <c r="B145" t="s">
        <v>332</v>
      </c>
      <c r="C145" t="s">
        <v>323</v>
      </c>
    </row>
    <row r="146" spans="1:7" x14ac:dyDescent="0.35">
      <c r="A146" t="s">
        <v>296</v>
      </c>
      <c r="B146" t="s">
        <v>40</v>
      </c>
    </row>
    <row r="147" spans="1:7" x14ac:dyDescent="0.35">
      <c r="A147" t="s">
        <v>297</v>
      </c>
      <c r="B147" t="s">
        <v>343</v>
      </c>
    </row>
    <row r="148" spans="1:7" x14ac:dyDescent="0.35">
      <c r="A148" t="s">
        <v>299</v>
      </c>
      <c r="B148" t="s">
        <v>40</v>
      </c>
    </row>
    <row r="149" spans="1:7" x14ac:dyDescent="0.35">
      <c r="A149" t="s">
        <v>300</v>
      </c>
      <c r="B149">
        <v>0.1</v>
      </c>
    </row>
    <row r="150" spans="1:7" x14ac:dyDescent="0.35">
      <c r="A150" t="s">
        <v>301</v>
      </c>
      <c r="B150" t="s">
        <v>302</v>
      </c>
      <c r="C150" t="s">
        <v>303</v>
      </c>
      <c r="D150" s="16" t="s">
        <v>304</v>
      </c>
    </row>
    <row r="151" spans="1:7" x14ac:dyDescent="0.35">
      <c r="A151" t="s">
        <v>305</v>
      </c>
      <c r="B151" t="s">
        <v>363</v>
      </c>
      <c r="C151" t="s">
        <v>280</v>
      </c>
      <c r="D151" t="s">
        <v>307</v>
      </c>
      <c r="E151" t="s">
        <v>60</v>
      </c>
      <c r="F151" t="s">
        <v>308</v>
      </c>
      <c r="G151" t="s">
        <v>334</v>
      </c>
    </row>
    <row r="152" spans="1:7" x14ac:dyDescent="0.35">
      <c r="A152" t="s">
        <v>309</v>
      </c>
    </row>
    <row r="154" spans="1:7" x14ac:dyDescent="0.35">
      <c r="A154" s="1" t="s">
        <v>151</v>
      </c>
    </row>
    <row r="155" spans="1:7" x14ac:dyDescent="0.35">
      <c r="A155" t="s">
        <v>266</v>
      </c>
      <c r="B155" t="s">
        <v>364</v>
      </c>
    </row>
    <row r="156" spans="1:7" x14ac:dyDescent="0.35">
      <c r="A156" t="s">
        <v>268</v>
      </c>
      <c r="B156" t="s">
        <v>269</v>
      </c>
      <c r="C156" t="s">
        <v>121</v>
      </c>
    </row>
    <row r="157" spans="1:7" x14ac:dyDescent="0.35">
      <c r="A157" t="s">
        <v>270</v>
      </c>
      <c r="B157" t="s">
        <v>311</v>
      </c>
    </row>
    <row r="158" spans="1:7" x14ac:dyDescent="0.35">
      <c r="A158" t="s">
        <v>273</v>
      </c>
      <c r="B158" t="s">
        <v>365</v>
      </c>
    </row>
    <row r="159" spans="1:7" x14ac:dyDescent="0.35">
      <c r="A159" t="s">
        <v>275</v>
      </c>
      <c r="B159" t="s">
        <v>313</v>
      </c>
    </row>
    <row r="160" spans="1:7" x14ac:dyDescent="0.35">
      <c r="A160" t="s">
        <v>277</v>
      </c>
      <c r="B160" t="s">
        <v>366</v>
      </c>
    </row>
    <row r="161" spans="1:5" x14ac:dyDescent="0.35">
      <c r="A161" t="s">
        <v>279</v>
      </c>
      <c r="B161" t="s">
        <v>134</v>
      </c>
    </row>
    <row r="162" spans="1:5" x14ac:dyDescent="0.35">
      <c r="A162" t="s">
        <v>284</v>
      </c>
      <c r="B162" t="s">
        <v>134</v>
      </c>
    </row>
    <row r="163" spans="1:5" x14ac:dyDescent="0.35">
      <c r="A163" t="s">
        <v>288</v>
      </c>
    </row>
    <row r="164" spans="1:5" x14ac:dyDescent="0.35">
      <c r="A164" t="s">
        <v>294</v>
      </c>
      <c r="B164" t="s">
        <v>367</v>
      </c>
    </row>
    <row r="165" spans="1:5" x14ac:dyDescent="0.35">
      <c r="A165" t="s">
        <v>296</v>
      </c>
      <c r="B165" t="s">
        <v>134</v>
      </c>
    </row>
    <row r="166" spans="1:5" x14ac:dyDescent="0.35">
      <c r="A166" t="s">
        <v>297</v>
      </c>
      <c r="B166" t="s">
        <v>318</v>
      </c>
    </row>
    <row r="167" spans="1:5" x14ac:dyDescent="0.35">
      <c r="A167" t="s">
        <v>299</v>
      </c>
      <c r="B167" t="s">
        <v>40</v>
      </c>
    </row>
    <row r="168" spans="1:5" x14ac:dyDescent="0.35">
      <c r="A168" t="s">
        <v>300</v>
      </c>
      <c r="B168">
        <v>0.1</v>
      </c>
    </row>
    <row r="169" spans="1:5" x14ac:dyDescent="0.35">
      <c r="A169" t="s">
        <v>301</v>
      </c>
      <c r="B169" t="s">
        <v>119</v>
      </c>
      <c r="C169" t="s">
        <v>319</v>
      </c>
      <c r="D169" s="16" t="s">
        <v>304</v>
      </c>
    </row>
    <row r="170" spans="1:5" x14ac:dyDescent="0.35">
      <c r="A170" t="s">
        <v>305</v>
      </c>
      <c r="B170" t="s">
        <v>368</v>
      </c>
      <c r="C170" t="s">
        <v>280</v>
      </c>
      <c r="D170" t="s">
        <v>308</v>
      </c>
      <c r="E170" t="s">
        <v>369</v>
      </c>
    </row>
    <row r="171" spans="1:5" x14ac:dyDescent="0.35">
      <c r="A171" t="s">
        <v>309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00B0F0"/>
  </sheetPr>
  <dimension ref="A4:F56"/>
  <sheetViews>
    <sheetView topLeftCell="A10" workbookViewId="0">
      <selection activeCell="A35" sqref="A35"/>
    </sheetView>
  </sheetViews>
  <sheetFormatPr defaultRowHeight="14.5" x14ac:dyDescent="0.35"/>
  <cols>
    <col min="1" max="1" width="19.7265625" customWidth="1"/>
  </cols>
  <sheetData>
    <row r="4" spans="1:2" x14ac:dyDescent="0.35">
      <c r="A4" s="1" t="s">
        <v>370</v>
      </c>
    </row>
    <row r="5" spans="1:2" x14ac:dyDescent="0.35">
      <c r="A5" t="s">
        <v>371</v>
      </c>
    </row>
    <row r="6" spans="1:2" x14ac:dyDescent="0.35">
      <c r="A6" t="s">
        <v>372</v>
      </c>
    </row>
    <row r="7" spans="1:2" x14ac:dyDescent="0.35">
      <c r="A7" t="s">
        <v>373</v>
      </c>
    </row>
    <row r="8" spans="1:2" x14ac:dyDescent="0.35">
      <c r="A8" t="s">
        <v>374</v>
      </c>
    </row>
    <row r="9" spans="1:2" x14ac:dyDescent="0.35">
      <c r="A9" t="s">
        <v>375</v>
      </c>
    </row>
    <row r="10" spans="1:2" x14ac:dyDescent="0.35">
      <c r="A10" t="s">
        <v>376</v>
      </c>
    </row>
    <row r="12" spans="1:2" x14ac:dyDescent="0.35">
      <c r="A12" s="1" t="s">
        <v>377</v>
      </c>
    </row>
    <row r="13" spans="1:2" x14ac:dyDescent="0.35">
      <c r="A13" t="s">
        <v>2</v>
      </c>
      <c r="B13" t="s">
        <v>378</v>
      </c>
    </row>
    <row r="14" spans="1:2" x14ac:dyDescent="0.35">
      <c r="A14" t="s">
        <v>3</v>
      </c>
      <c r="B14" t="s">
        <v>379</v>
      </c>
    </row>
    <row r="15" spans="1:2" x14ac:dyDescent="0.35">
      <c r="A15" t="s">
        <v>29</v>
      </c>
      <c r="B15" t="s">
        <v>380</v>
      </c>
    </row>
    <row r="16" spans="1:2" x14ac:dyDescent="0.35">
      <c r="A16" t="s">
        <v>30</v>
      </c>
      <c r="B16" t="s">
        <v>381</v>
      </c>
    </row>
    <row r="17" spans="1:2" x14ac:dyDescent="0.35">
      <c r="A17" t="s">
        <v>31</v>
      </c>
      <c r="B17" t="s">
        <v>382</v>
      </c>
    </row>
    <row r="18" spans="1:2" x14ac:dyDescent="0.35">
      <c r="A18" t="s">
        <v>383</v>
      </c>
      <c r="B18" t="s">
        <v>384</v>
      </c>
    </row>
    <row r="19" spans="1:2" x14ac:dyDescent="0.35">
      <c r="A19" t="s">
        <v>385</v>
      </c>
      <c r="B19" t="s">
        <v>386</v>
      </c>
    </row>
    <row r="20" spans="1:2" x14ac:dyDescent="0.35">
      <c r="A20" t="s">
        <v>5</v>
      </c>
      <c r="B20" t="s">
        <v>387</v>
      </c>
    </row>
    <row r="21" spans="1:2" x14ac:dyDescent="0.35">
      <c r="A21" t="s">
        <v>6</v>
      </c>
      <c r="B21" t="s">
        <v>388</v>
      </c>
    </row>
    <row r="22" spans="1:2" x14ac:dyDescent="0.35">
      <c r="A22" t="s">
        <v>1</v>
      </c>
      <c r="B22" t="s">
        <v>389</v>
      </c>
    </row>
    <row r="23" spans="1:2" x14ac:dyDescent="0.35">
      <c r="A23" t="s">
        <v>34</v>
      </c>
      <c r="B23" t="s">
        <v>390</v>
      </c>
    </row>
    <row r="24" spans="1:2" x14ac:dyDescent="0.35">
      <c r="A24" t="s">
        <v>35</v>
      </c>
      <c r="B24" t="s">
        <v>391</v>
      </c>
    </row>
    <row r="26" spans="1:2" x14ac:dyDescent="0.35">
      <c r="A26" s="1" t="s">
        <v>135</v>
      </c>
    </row>
    <row r="27" spans="1:2" x14ac:dyDescent="0.35">
      <c r="A27" t="s">
        <v>3</v>
      </c>
      <c r="B27" t="s">
        <v>379</v>
      </c>
    </row>
    <row r="28" spans="1:2" x14ac:dyDescent="0.35">
      <c r="A28" t="s">
        <v>2</v>
      </c>
      <c r="B28" t="s">
        <v>378</v>
      </c>
    </row>
    <row r="29" spans="1:2" x14ac:dyDescent="0.35">
      <c r="A29" t="s">
        <v>28</v>
      </c>
      <c r="B29" t="s">
        <v>392</v>
      </c>
    </row>
    <row r="30" spans="1:2" x14ac:dyDescent="0.35">
      <c r="A30" t="s">
        <v>45</v>
      </c>
      <c r="B30" t="s">
        <v>393</v>
      </c>
    </row>
    <row r="31" spans="1:2" x14ac:dyDescent="0.35">
      <c r="A31" t="s">
        <v>46</v>
      </c>
      <c r="B31" t="s">
        <v>394</v>
      </c>
    </row>
    <row r="32" spans="1:2" x14ac:dyDescent="0.35">
      <c r="A32" t="s">
        <v>47</v>
      </c>
      <c r="B32" t="s">
        <v>395</v>
      </c>
    </row>
    <row r="33" spans="1:6" x14ac:dyDescent="0.35">
      <c r="A33" t="s">
        <v>48</v>
      </c>
      <c r="B33" t="s">
        <v>396</v>
      </c>
    </row>
    <row r="34" spans="1:6" x14ac:dyDescent="0.35">
      <c r="A34" t="s">
        <v>49</v>
      </c>
      <c r="B34" t="s">
        <v>397</v>
      </c>
    </row>
    <row r="35" spans="1:6" x14ac:dyDescent="0.35">
      <c r="A35" t="s">
        <v>50</v>
      </c>
      <c r="B35" t="s">
        <v>398</v>
      </c>
    </row>
    <row r="36" spans="1:6" x14ac:dyDescent="0.35">
      <c r="A36" t="s">
        <v>51</v>
      </c>
      <c r="B36" t="s">
        <v>399</v>
      </c>
    </row>
    <row r="37" spans="1:6" x14ac:dyDescent="0.35">
      <c r="A37" t="s">
        <v>52</v>
      </c>
      <c r="B37" t="s">
        <v>400</v>
      </c>
    </row>
    <row r="38" spans="1:6" x14ac:dyDescent="0.35">
      <c r="A38" t="s">
        <v>53</v>
      </c>
      <c r="B38" t="s">
        <v>401</v>
      </c>
    </row>
    <row r="39" spans="1:6" x14ac:dyDescent="0.35">
      <c r="A39" t="s">
        <v>54</v>
      </c>
      <c r="B39" t="s">
        <v>402</v>
      </c>
    </row>
    <row r="40" spans="1:6" x14ac:dyDescent="0.35">
      <c r="A40" t="s">
        <v>55</v>
      </c>
      <c r="B40" t="s">
        <v>403</v>
      </c>
    </row>
    <row r="41" spans="1:6" x14ac:dyDescent="0.35">
      <c r="A41" t="s">
        <v>56</v>
      </c>
      <c r="B41" t="s">
        <v>404</v>
      </c>
    </row>
    <row r="42" spans="1:6" x14ac:dyDescent="0.35">
      <c r="A42" t="s">
        <v>57</v>
      </c>
      <c r="B42" t="s">
        <v>405</v>
      </c>
    </row>
    <row r="43" spans="1:6" x14ac:dyDescent="0.35">
      <c r="A43" t="s">
        <v>58</v>
      </c>
      <c r="B43" t="s">
        <v>406</v>
      </c>
    </row>
    <row r="44" spans="1:6" x14ac:dyDescent="0.35">
      <c r="A44" t="s">
        <v>59</v>
      </c>
      <c r="B44" t="s">
        <v>136</v>
      </c>
      <c r="C44" t="s">
        <v>137</v>
      </c>
      <c r="D44" t="s">
        <v>138</v>
      </c>
      <c r="E44" t="s">
        <v>139</v>
      </c>
      <c r="F44" t="s">
        <v>140</v>
      </c>
    </row>
    <row r="45" spans="1:6" x14ac:dyDescent="0.35">
      <c r="A45" t="s">
        <v>60</v>
      </c>
      <c r="B45" t="s">
        <v>407</v>
      </c>
    </row>
    <row r="46" spans="1:6" x14ac:dyDescent="0.35">
      <c r="A46" s="16" t="s">
        <v>61</v>
      </c>
      <c r="B46" t="s">
        <v>158</v>
      </c>
      <c r="C46" t="s">
        <v>159</v>
      </c>
      <c r="D46" t="s">
        <v>160</v>
      </c>
    </row>
    <row r="47" spans="1:6" x14ac:dyDescent="0.35">
      <c r="A47" t="s">
        <v>62</v>
      </c>
      <c r="B47" t="s">
        <v>408</v>
      </c>
    </row>
    <row r="49" spans="1:6" x14ac:dyDescent="0.35">
      <c r="A49" s="1" t="s">
        <v>409</v>
      </c>
    </row>
    <row r="50" spans="1:6" x14ac:dyDescent="0.35">
      <c r="A50" t="s">
        <v>112</v>
      </c>
      <c r="B50" t="s">
        <v>410</v>
      </c>
      <c r="C50" t="s">
        <v>411</v>
      </c>
    </row>
    <row r="51" spans="1:6" x14ac:dyDescent="0.35">
      <c r="A51" t="s">
        <v>113</v>
      </c>
      <c r="B51" t="s">
        <v>304</v>
      </c>
    </row>
    <row r="52" spans="1:6" x14ac:dyDescent="0.35">
      <c r="A52" t="s">
        <v>114</v>
      </c>
      <c r="B52" t="s">
        <v>412</v>
      </c>
    </row>
    <row r="54" spans="1:6" x14ac:dyDescent="0.35">
      <c r="A54" s="1" t="s">
        <v>161</v>
      </c>
    </row>
    <row r="55" spans="1:6" x14ac:dyDescent="0.35">
      <c r="A55" t="s">
        <v>62</v>
      </c>
      <c r="B55" t="s">
        <v>413</v>
      </c>
    </row>
    <row r="56" spans="1:6" x14ac:dyDescent="0.35">
      <c r="A56" s="16" t="s">
        <v>59</v>
      </c>
      <c r="B56" t="s">
        <v>136</v>
      </c>
      <c r="C56" t="s">
        <v>137</v>
      </c>
      <c r="D56" t="s">
        <v>138</v>
      </c>
      <c r="E56" t="s">
        <v>139</v>
      </c>
      <c r="F56" t="s">
        <v>140</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B0F0"/>
  </sheetPr>
  <dimension ref="A1:A25"/>
  <sheetViews>
    <sheetView workbookViewId="0">
      <selection activeCell="B12" sqref="B12"/>
    </sheetView>
  </sheetViews>
  <sheetFormatPr defaultRowHeight="14.5" x14ac:dyDescent="0.35"/>
  <sheetData>
    <row r="1" spans="1:1" x14ac:dyDescent="0.35">
      <c r="A1" s="1" t="s">
        <v>414</v>
      </c>
    </row>
    <row r="2" spans="1:1" x14ac:dyDescent="0.35">
      <c r="A2" s="1" t="s">
        <v>415</v>
      </c>
    </row>
    <row r="4" spans="1:1" x14ac:dyDescent="0.35">
      <c r="A4" s="1" t="s">
        <v>416</v>
      </c>
    </row>
    <row r="6" spans="1:1" x14ac:dyDescent="0.35">
      <c r="A6" t="s">
        <v>417</v>
      </c>
    </row>
    <row r="7" spans="1:1" x14ac:dyDescent="0.35">
      <c r="A7" t="s">
        <v>418</v>
      </c>
    </row>
    <row r="8" spans="1:1" x14ac:dyDescent="0.35">
      <c r="A8" t="s">
        <v>419</v>
      </c>
    </row>
    <row r="9" spans="1:1" x14ac:dyDescent="0.35">
      <c r="A9" t="s">
        <v>420</v>
      </c>
    </row>
    <row r="11" spans="1:1" x14ac:dyDescent="0.35">
      <c r="A11" s="1" t="s">
        <v>34</v>
      </c>
    </row>
    <row r="12" spans="1:1" x14ac:dyDescent="0.35">
      <c r="A12" t="s">
        <v>421</v>
      </c>
    </row>
    <row r="14" spans="1:1" x14ac:dyDescent="0.35">
      <c r="A14" s="1" t="s">
        <v>135</v>
      </c>
    </row>
    <row r="15" spans="1:1" x14ac:dyDescent="0.35">
      <c r="A15" t="s">
        <v>422</v>
      </c>
    </row>
    <row r="16" spans="1:1" x14ac:dyDescent="0.35">
      <c r="A16" s="1" t="s">
        <v>377</v>
      </c>
    </row>
    <row r="17" spans="1:1" x14ac:dyDescent="0.35">
      <c r="A17" t="s">
        <v>422</v>
      </c>
    </row>
    <row r="18" spans="1:1" x14ac:dyDescent="0.35">
      <c r="A18" s="1" t="s">
        <v>161</v>
      </c>
    </row>
    <row r="19" spans="1:1" x14ac:dyDescent="0.35">
      <c r="A19" t="s">
        <v>422</v>
      </c>
    </row>
    <row r="21" spans="1:1" x14ac:dyDescent="0.35">
      <c r="A21" s="1" t="s">
        <v>423</v>
      </c>
    </row>
    <row r="23" spans="1:1" x14ac:dyDescent="0.35">
      <c r="A23" t="s">
        <v>424</v>
      </c>
    </row>
    <row r="24" spans="1:1" x14ac:dyDescent="0.35">
      <c r="A24" t="s">
        <v>425</v>
      </c>
    </row>
    <row r="25" spans="1:1" x14ac:dyDescent="0.35">
      <c r="A25" t="s">
        <v>426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A24"/>
  <sheetViews>
    <sheetView workbookViewId="0">
      <selection activeCell="A11" sqref="A11"/>
    </sheetView>
  </sheetViews>
  <sheetFormatPr defaultRowHeight="14.5" x14ac:dyDescent="0.35"/>
  <sheetData>
    <row r="1" spans="1:1" x14ac:dyDescent="0.35">
      <c r="A1" s="1" t="s">
        <v>427</v>
      </c>
    </row>
    <row r="2" spans="1:1" x14ac:dyDescent="0.35">
      <c r="A2" t="s">
        <v>428</v>
      </c>
    </row>
    <row r="3" spans="1:1" x14ac:dyDescent="0.35">
      <c r="A3" t="s">
        <v>429</v>
      </c>
    </row>
    <row r="4" spans="1:1" x14ac:dyDescent="0.35">
      <c r="A4" t="s">
        <v>430</v>
      </c>
    </row>
    <row r="5" spans="1:1" x14ac:dyDescent="0.35">
      <c r="A5" t="s">
        <v>431</v>
      </c>
    </row>
    <row r="6" spans="1:1" x14ac:dyDescent="0.35">
      <c r="A6" t="s">
        <v>432</v>
      </c>
    </row>
    <row r="8" spans="1:1" x14ac:dyDescent="0.35">
      <c r="A8" s="1" t="s">
        <v>433</v>
      </c>
    </row>
    <row r="9" spans="1:1" x14ac:dyDescent="0.35">
      <c r="A9" t="s">
        <v>434</v>
      </c>
    </row>
    <row r="10" spans="1:1" x14ac:dyDescent="0.35">
      <c r="A10" t="s">
        <v>435</v>
      </c>
    </row>
    <row r="11" spans="1:1" x14ac:dyDescent="0.35">
      <c r="A11" t="s">
        <v>436</v>
      </c>
    </row>
    <row r="12" spans="1:1" x14ac:dyDescent="0.35">
      <c r="A12" t="s">
        <v>437</v>
      </c>
    </row>
    <row r="13" spans="1:1" x14ac:dyDescent="0.35">
      <c r="A13" t="s">
        <v>438</v>
      </c>
    </row>
    <row r="14" spans="1:1" x14ac:dyDescent="0.35">
      <c r="A14" t="s">
        <v>439</v>
      </c>
    </row>
    <row r="15" spans="1:1" x14ac:dyDescent="0.35">
      <c r="A15" t="s">
        <v>440</v>
      </c>
    </row>
    <row r="16" spans="1:1" x14ac:dyDescent="0.35">
      <c r="A16" t="s">
        <v>441</v>
      </c>
    </row>
    <row r="17" spans="1:1" x14ac:dyDescent="0.35">
      <c r="A17" t="s">
        <v>442</v>
      </c>
    </row>
    <row r="18" spans="1:1" x14ac:dyDescent="0.35">
      <c r="A18" t="s">
        <v>443</v>
      </c>
    </row>
    <row r="19" spans="1:1" x14ac:dyDescent="0.35">
      <c r="A19" t="s">
        <v>444</v>
      </c>
    </row>
    <row r="21" spans="1:1" x14ac:dyDescent="0.35">
      <c r="A21" s="1" t="s">
        <v>445</v>
      </c>
    </row>
    <row r="22" spans="1:1" x14ac:dyDescent="0.35">
      <c r="A22" t="s">
        <v>446</v>
      </c>
    </row>
    <row r="23" spans="1:1" x14ac:dyDescent="0.35">
      <c r="A23" t="s">
        <v>447</v>
      </c>
    </row>
    <row r="24" spans="1:1" x14ac:dyDescent="0.35">
      <c r="A24" t="s">
        <v>448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rgb="FF00B0F0"/>
  </sheetPr>
  <dimension ref="A1:A18"/>
  <sheetViews>
    <sheetView workbookViewId="0">
      <selection activeCell="C21" sqref="C21"/>
    </sheetView>
  </sheetViews>
  <sheetFormatPr defaultRowHeight="14.5" x14ac:dyDescent="0.35"/>
  <sheetData>
    <row r="1" spans="1:1" x14ac:dyDescent="0.35">
      <c r="A1" s="1" t="s">
        <v>449</v>
      </c>
    </row>
    <row r="2" spans="1:1" x14ac:dyDescent="0.35">
      <c r="A2" t="s">
        <v>450</v>
      </c>
    </row>
    <row r="3" spans="1:1" x14ac:dyDescent="0.35">
      <c r="A3" t="s">
        <v>451</v>
      </c>
    </row>
    <row r="4" spans="1:1" x14ac:dyDescent="0.35">
      <c r="A4" t="s">
        <v>452</v>
      </c>
    </row>
    <row r="5" spans="1:1" x14ac:dyDescent="0.35">
      <c r="A5" t="s">
        <v>453</v>
      </c>
    </row>
    <row r="6" spans="1:1" x14ac:dyDescent="0.35">
      <c r="A6" t="s">
        <v>454</v>
      </c>
    </row>
    <row r="7" spans="1:1" x14ac:dyDescent="0.35">
      <c r="A7" s="1" t="s">
        <v>455</v>
      </c>
    </row>
    <row r="8" spans="1:1" x14ac:dyDescent="0.35">
      <c r="A8" t="s">
        <v>456</v>
      </c>
    </row>
    <row r="9" spans="1:1" x14ac:dyDescent="0.35">
      <c r="A9" s="1" t="s">
        <v>135</v>
      </c>
    </row>
    <row r="10" spans="1:1" x14ac:dyDescent="0.35">
      <c r="A10" t="s">
        <v>457</v>
      </c>
    </row>
    <row r="11" spans="1:1" x14ac:dyDescent="0.35">
      <c r="A11" s="1" t="s">
        <v>458</v>
      </c>
    </row>
    <row r="12" spans="1:1" x14ac:dyDescent="0.35">
      <c r="A12" t="s">
        <v>459</v>
      </c>
    </row>
    <row r="13" spans="1:1" x14ac:dyDescent="0.35">
      <c r="A13" s="1" t="s">
        <v>460</v>
      </c>
    </row>
    <row r="14" spans="1:1" x14ac:dyDescent="0.35">
      <c r="A14" t="s">
        <v>461</v>
      </c>
    </row>
    <row r="15" spans="1:1" x14ac:dyDescent="0.35">
      <c r="A15" s="1" t="s">
        <v>377</v>
      </c>
    </row>
    <row r="16" spans="1:1" x14ac:dyDescent="0.35">
      <c r="A16" t="s">
        <v>462</v>
      </c>
    </row>
    <row r="17" spans="1:1" x14ac:dyDescent="0.35">
      <c r="A17" s="1" t="s">
        <v>161</v>
      </c>
    </row>
    <row r="18" spans="1:1" x14ac:dyDescent="0.35">
      <c r="A18" t="s">
        <v>463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Improvements</vt:lpstr>
      <vt:lpstr>Weekly One Pager</vt:lpstr>
      <vt:lpstr>Journal</vt:lpstr>
      <vt:lpstr>Ideas</vt:lpstr>
      <vt:lpstr>Trade Log</vt:lpstr>
      <vt:lpstr>Retro</vt:lpstr>
      <vt:lpstr>Retro BI</vt:lpstr>
      <vt:lpstr>Data Tags</vt:lpstr>
      <vt:lpstr>TraderSync Export</vt:lpstr>
      <vt:lpstr>Setup_Data</vt:lpstr>
      <vt:lpstr>Definitions</vt:lpstr>
      <vt:lpstr>To Do</vt:lpstr>
      <vt:lpstr>Process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Talavera</dc:creator>
  <cp:lastModifiedBy>Juan Talavera</cp:lastModifiedBy>
  <dcterms:created xsi:type="dcterms:W3CDTF">2015-06-05T18:17:20Z</dcterms:created>
  <dcterms:modified xsi:type="dcterms:W3CDTF">2024-05-19T20:56:40Z</dcterms:modified>
</cp:coreProperties>
</file>