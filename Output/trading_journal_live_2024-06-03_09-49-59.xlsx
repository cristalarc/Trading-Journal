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7" documentId="11_4A036DA2FDAA30C9E976E4951FF7865B84D39573" xr6:coauthVersionLast="47" xr6:coauthVersionMax="47" xr10:uidLastSave="{216AC01F-D9EA-4F80-B5FF-24C25FC28501}"/>
  <bookViews>
    <workbookView xWindow="-110" yWindow="-110" windowWidth="38620" windowHeight="21100" firstSheet="1" activeTab="5"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Dropdown List Tags" sheetId="9" r:id="rId9"/>
    <sheet name="TraderSync Export" sheetId="10" r:id="rId10"/>
    <sheet name="Setup_Data" sheetId="11" r:id="rId11"/>
    <sheet name="Definitions" sheetId="12" r:id="rId12"/>
    <sheet name="To Do" sheetId="13" r:id="rId13"/>
    <sheet name="Process" sheetId="14" r:id="rId14"/>
    <sheet name="Summary"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1" i="5" l="1"/>
  <c r="Y20" i="5"/>
  <c r="Y19" i="5"/>
  <c r="Y18" i="5"/>
  <c r="Y17" i="5"/>
  <c r="Y16" i="5"/>
  <c r="Y15" i="5"/>
  <c r="Y14" i="5"/>
  <c r="Y13" i="5"/>
  <c r="Y12" i="5"/>
  <c r="Y11" i="5"/>
  <c r="Y10" i="5"/>
  <c r="Y9" i="5"/>
  <c r="Y8" i="5"/>
  <c r="Y7" i="5"/>
  <c r="Y6" i="5"/>
  <c r="Y5" i="5"/>
  <c r="Y4" i="5"/>
  <c r="Y3" i="5"/>
  <c r="Y2" i="5"/>
  <c r="P57" i="4"/>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<sst xmlns="http://schemas.openxmlformats.org/spreadsheetml/2006/main" count="1328" uniqueCount="432">
  <si>
    <t>Sheet</t>
  </si>
  <si>
    <t>Commentary</t>
  </si>
  <si>
    <t>Date</t>
  </si>
  <si>
    <t>Symbol</t>
  </si>
  <si>
    <t>Comments</t>
  </si>
  <si>
    <t>Key Support Level</t>
  </si>
  <si>
    <t>Key Resistance Level</t>
  </si>
  <si>
    <t>Game Plan</t>
  </si>
  <si>
    <t>Current Price</t>
  </si>
  <si>
    <t>Direction</t>
  </si>
  <si>
    <t>Sentiment</t>
  </si>
  <si>
    <t>Sentiment Type</t>
  </si>
  <si>
    <t>Governing Pattern</t>
  </si>
  <si>
    <t>30D Retro</t>
  </si>
  <si>
    <t>Weekly One Pager</t>
  </si>
  <si>
    <t>Followup</t>
  </si>
  <si>
    <t>SPY</t>
  </si>
  <si>
    <t>Bullish</t>
  </si>
  <si>
    <t>Fundamental</t>
  </si>
  <si>
    <t>Inverted Cup</t>
  </si>
  <si>
    <t>This is a test</t>
  </si>
  <si>
    <t>Incoming to a lot of MAs traffic that can rebound, and a bit of low wick.
We might have a small bounce.</t>
  </si>
  <si>
    <t>CONGLO</t>
  </si>
  <si>
    <t>Bearish</t>
  </si>
  <si>
    <t>Lore ipsum</t>
  </si>
  <si>
    <t>QQQ</t>
  </si>
  <si>
    <t>Lore ipsumsss</t>
  </si>
  <si>
    <t>CELH</t>
  </si>
  <si>
    <t>Lore ipsumsafsfds</t>
  </si>
  <si>
    <t>Yes</t>
  </si>
  <si>
    <t>AAPL</t>
  </si>
  <si>
    <t>Bearish Pennant</t>
  </si>
  <si>
    <t>IWM</t>
  </si>
  <si>
    <t>Auto Algo Line Daily</t>
  </si>
  <si>
    <t>Lore ipsum xxx$$%</t>
  </si>
  <si>
    <t>DKNG</t>
  </si>
  <si>
    <t>Technical</t>
  </si>
  <si>
    <t>Double Bottom</t>
  </si>
  <si>
    <t>Lore ipsum ''"''</t>
  </si>
  <si>
    <t>AMZN</t>
  </si>
  <si>
    <t>Lore ipsum ,,"</t>
  </si>
  <si>
    <t>GME</t>
  </si>
  <si>
    <t>AMC</t>
  </si>
  <si>
    <t>ASTS</t>
  </si>
  <si>
    <t>XPO</t>
  </si>
  <si>
    <t>Ticker</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</si>
  <si>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</si>
  <si>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</si>
  <si>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</si>
  <si>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</si>
  <si>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</si>
  <si>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</si>
  <si>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</si>
  <si>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</si>
  <si>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</si>
  <si>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</si>
  <si>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</si>
  <si>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</si>
  <si>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</si>
  <si>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</si>
  <si>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</si>
  <si>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</si>
  <si>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</si>
  <si>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</si>
  <si>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</si>
  <si>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Size</t>
  </si>
  <si>
    <t>Open Date</t>
  </si>
  <si>
    <t>Close Date</t>
  </si>
  <si>
    <t>Setup 1</t>
  </si>
  <si>
    <t>Setup 2</t>
  </si>
  <si>
    <t>Setup 3</t>
  </si>
  <si>
    <t>Setup 4</t>
  </si>
  <si>
    <t>Setup 5</t>
  </si>
  <si>
    <t>Setup 6</t>
  </si>
  <si>
    <t>Mistakes 1</t>
  </si>
  <si>
    <t>Mistakes 2</t>
  </si>
  <si>
    <t>Mistakes 3</t>
  </si>
  <si>
    <t>Mistakes 4</t>
  </si>
  <si>
    <t>Mistakes 5</t>
  </si>
  <si>
    <t>Entry Price</t>
  </si>
  <si>
    <t>Exit Price</t>
  </si>
  <si>
    <t>Avg Buy</t>
  </si>
  <si>
    <t>Avg Sell</t>
  </si>
  <si>
    <t>Net Return</t>
  </si>
  <si>
    <t>Type</t>
  </si>
  <si>
    <t>Net Return %</t>
  </si>
  <si>
    <t>MAE</t>
  </si>
  <si>
    <t>MFE</t>
  </si>
  <si>
    <t>Best Exit $</t>
  </si>
  <si>
    <t>Best Exit %</t>
  </si>
  <si>
    <t>WIN</t>
  </si>
  <si>
    <t>SPX</t>
  </si>
  <si>
    <t>Apr 19, 2024</t>
  </si>
  <si>
    <t>Rich SPY</t>
  </si>
  <si>
    <t>Fumbled</t>
  </si>
  <si>
    <t>OPTION</t>
  </si>
  <si>
    <t>LOSS</t>
  </si>
  <si>
    <t>Apr 15, 2024</t>
  </si>
  <si>
    <t>Waited</t>
  </si>
  <si>
    <t>Feb 09, 2024</t>
  </si>
  <si>
    <t>SHARE</t>
  </si>
  <si>
    <t>Exit Feeling</t>
  </si>
  <si>
    <t>Retro Due Date</t>
  </si>
  <si>
    <t>KPI #1</t>
  </si>
  <si>
    <t>KPI #2</t>
  </si>
  <si>
    <t>KPI #3</t>
  </si>
  <si>
    <t>Mar 01, 2024</t>
  </si>
  <si>
    <t>Total Trades</t>
  </si>
  <si>
    <t>Profit</t>
  </si>
  <si>
    <t>Losses</t>
  </si>
  <si>
    <t>Profit Factor</t>
  </si>
  <si>
    <t>Average Return</t>
  </si>
  <si>
    <t>Direction/Sentiment</t>
  </si>
  <si>
    <t>14D Retro</t>
  </si>
  <si>
    <t>HnS</t>
  </si>
  <si>
    <t>Win</t>
  </si>
  <si>
    <t>Watchlist</t>
  </si>
  <si>
    <t>Long</t>
  </si>
  <si>
    <t>Above</t>
  </si>
  <si>
    <t>LQ</t>
  </si>
  <si>
    <t>Open</t>
  </si>
  <si>
    <t>Good Exit</t>
  </si>
  <si>
    <t>EOD</t>
  </si>
  <si>
    <t>Cup</t>
  </si>
  <si>
    <t>Lose</t>
  </si>
  <si>
    <t>MACD Scanner</t>
  </si>
  <si>
    <t>Short</t>
  </si>
  <si>
    <t>CSH</t>
  </si>
  <si>
    <t>Below</t>
  </si>
  <si>
    <t>MQ</t>
  </si>
  <si>
    <t>Taken</t>
  </si>
  <si>
    <t>D+3</t>
  </si>
  <si>
    <t>Inverted HnS</t>
  </si>
  <si>
    <t>Mixed</t>
  </si>
  <si>
    <t>VTR Scanner</t>
  </si>
  <si>
    <t>CSD</t>
  </si>
  <si>
    <t>HQ</t>
  </si>
  <si>
    <t>Expired</t>
  </si>
  <si>
    <t>Bad Execution</t>
  </si>
  <si>
    <t>NA</t>
  </si>
  <si>
    <t>Relative Daily scanner</t>
  </si>
  <si>
    <t>CSDT</t>
  </si>
  <si>
    <t>Bullish Pennant</t>
  </si>
  <si>
    <t>BTD Scanner</t>
  </si>
  <si>
    <t>CSDTV</t>
  </si>
  <si>
    <t>Ideas</t>
  </si>
  <si>
    <t>SW</t>
  </si>
  <si>
    <t>EOW</t>
  </si>
  <si>
    <t>Double Top</t>
  </si>
  <si>
    <t>SLQT</t>
  </si>
  <si>
    <t>Triple Top</t>
  </si>
  <si>
    <t>DT</t>
  </si>
  <si>
    <t>ZM</t>
  </si>
  <si>
    <t>Triple Bottom</t>
  </si>
  <si>
    <t>Rich Stock Swings</t>
  </si>
  <si>
    <t>Journal</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</si>
  <si>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</si>
  <si>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</si>
  <si>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</si>
  <si>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</si>
  <si>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</si>
  <si>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</si>
  <si>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</si>
  <si>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</si>
  <si>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</si>
  <si>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</si>
  <si>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</si>
  <si>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</si>
  <si>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</si>
  <si>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</si>
  <si>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</si>
  <si>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</si>
  <si>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</si>
  <si>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</si>
  <si>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</si>
  <si>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</si>
  <si>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</si>
  <si>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</si>
  <si>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</si>
  <si>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</si>
  <si>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</si>
  <si>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</si>
  <si>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</si>
  <si>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10:02:17</t>
  </si>
  <si>
    <t>15:27:20</t>
  </si>
  <si>
    <t>33.12%</t>
  </si>
  <si>
    <t>LONG</t>
  </si>
  <si>
    <t>SINGLE</t>
  </si>
  <si>
    <t>21d</t>
  </si>
  <si>
    <t>ROTH IRA</t>
  </si>
  <si>
    <t>Private</t>
  </si>
  <si>
    <t>OPEN</t>
  </si>
  <si>
    <t>TSLA</t>
  </si>
  <si>
    <t>Apr 01, 2024</t>
  </si>
  <si>
    <t>09:42:31</t>
  </si>
  <si>
    <t>0 sec</t>
  </si>
  <si>
    <t>Chase Retirement</t>
  </si>
  <si>
    <t>10:03:23</t>
  </si>
  <si>
    <t>U</t>
  </si>
  <si>
    <t>Apr 09, 2024</t>
  </si>
  <si>
    <t>09:57:43</t>
  </si>
  <si>
    <t>09:58:02</t>
  </si>
  <si>
    <t>19 sec</t>
  </si>
  <si>
    <t>09:41:14</t>
  </si>
  <si>
    <t>09:41:35</t>
  </si>
  <si>
    <t>-5.13%</t>
  </si>
  <si>
    <t>15 APR 24</t>
  </si>
  <si>
    <t>21 sec</t>
  </si>
  <si>
    <t>Day Trading</t>
  </si>
  <si>
    <t>09:53:29</t>
  </si>
  <si>
    <t>09:55:18</t>
  </si>
  <si>
    <t>Rich SPY, Waited</t>
  </si>
  <si>
    <t>4.76%</t>
  </si>
  <si>
    <t>01:49 min</t>
  </si>
  <si>
    <t>11:28:57</t>
  </si>
  <si>
    <t>11:33:36</t>
  </si>
  <si>
    <t>3.45%</t>
  </si>
  <si>
    <t>19 APR 24</t>
  </si>
  <si>
    <t>04:39 min</t>
  </si>
  <si>
    <t>Apr 23, 2024</t>
  </si>
  <si>
    <t>16:24:32</t>
  </si>
  <si>
    <t>TCHI</t>
  </si>
  <si>
    <t>May 03, 2024</t>
  </si>
  <si>
    <t>10:13:22</t>
  </si>
  <si>
    <t>Value #1</t>
  </si>
  <si>
    <t>Value #2</t>
  </si>
  <si>
    <t>Value #3</t>
  </si>
  <si>
    <t>Value #4</t>
  </si>
  <si>
    <t>Value #5</t>
  </si>
  <si>
    <t>Value #6</t>
  </si>
  <si>
    <t>Value #7</t>
  </si>
  <si>
    <t>Value #8</t>
  </si>
  <si>
    <t>Value #9</t>
  </si>
  <si>
    <t>Cloud System Swings 1hr</t>
  </si>
  <si>
    <t>Sourcing</t>
  </si>
  <si>
    <t>Relative Scanner</t>
  </si>
  <si>
    <t>Recording System</t>
  </si>
  <si>
    <t>TraderSync</t>
  </si>
  <si>
    <t>Enter Criteria</t>
  </si>
  <si>
    <t>Hourly chart.</t>
  </si>
  <si>
    <t>Enter when the candle close crosses the 34-50 cloud.</t>
  </si>
  <si>
    <t>Early Entry Criteria</t>
  </si>
  <si>
    <t>Enter as the candle is breaking the cloud.</t>
  </si>
  <si>
    <t>Exit Criteria</t>
  </si>
  <si>
    <t>Close breaks the 5-12 cloud.</t>
  </si>
  <si>
    <t>Confirmation Criteria</t>
  </si>
  <si>
    <t>Confirmation is defined as a close cross the cloud.</t>
  </si>
  <si>
    <t>Quality Considerations</t>
  </si>
  <si>
    <t>Confirmation</t>
  </si>
  <si>
    <t>SPY RSI H trend</t>
  </si>
  <si>
    <t>Favorable Relativeness</t>
  </si>
  <si>
    <t>RR</t>
  </si>
  <si>
    <t>Quality Criteria</t>
  </si>
  <si>
    <t>HQ= confirmation + 2</t>
  </si>
  <si>
    <t>MQ= confirmation + 1</t>
  </si>
  <si>
    <t>LQ= early + 1</t>
  </si>
  <si>
    <t>Kaizen</t>
  </si>
  <si>
    <t>Size of the trade will need to be improved</t>
  </si>
  <si>
    <t>Options versus stock will need definition</t>
  </si>
  <si>
    <t>Early entries worth it or not</t>
  </si>
  <si>
    <t>Come up with an RR value</t>
  </si>
  <si>
    <t>Correlation of confirmation bias</t>
  </si>
  <si>
    <t>Execution Review Criteria</t>
  </si>
  <si>
    <t xml:space="preserve">Exited as defined in the criteria or not. Max gain analysis. </t>
  </si>
  <si>
    <t>Backtesting</t>
  </si>
  <si>
    <t>Retrospective Period</t>
  </si>
  <si>
    <t>Exit Feeling Record</t>
  </si>
  <si>
    <t>Current Version</t>
  </si>
  <si>
    <t>Scoring KPI of Strategy</t>
  </si>
  <si>
    <t>Profit factor</t>
  </si>
  <si>
    <t>Avrg Return</t>
  </si>
  <si>
    <t>Best Exit</t>
  </si>
  <si>
    <t>Tagging System</t>
  </si>
  <si>
    <t>Relativeness</t>
  </si>
  <si>
    <t>Execution</t>
  </si>
  <si>
    <t>TODO</t>
  </si>
  <si>
    <t>Rich SPY Trading</t>
  </si>
  <si>
    <t>Rich Discord</t>
  </si>
  <si>
    <t>Matching price to call</t>
  </si>
  <si>
    <t>Cheaper price than Rich</t>
  </si>
  <si>
    <t>30% profit</t>
  </si>
  <si>
    <t>Seeing Rich's call.</t>
  </si>
  <si>
    <t>Improving enter criteria (my view over Rich's)</t>
  </si>
  <si>
    <t>Improving exit criteria (profit margin, wait for Rich, $ amount or %)</t>
  </si>
  <si>
    <t>My exit versus Rich's measured in Avg Return.</t>
  </si>
  <si>
    <t>Avg Return</t>
  </si>
  <si>
    <t>Cloud System Swings Daily</t>
  </si>
  <si>
    <t>Daily chart.</t>
  </si>
  <si>
    <t>SPY RSI D trend</t>
  </si>
  <si>
    <t>Exited as defined in the criteria or not.</t>
  </si>
  <si>
    <t xml:space="preserve">Max gain analysis. </t>
  </si>
  <si>
    <t>Cloud System DT</t>
  </si>
  <si>
    <t>Momentum Scanner</t>
  </si>
  <si>
    <t>10m chart</t>
  </si>
  <si>
    <t>Cloud System DT Variant</t>
  </si>
  <si>
    <t>Enter when the 34-50 clouds crosses a pivot line.</t>
  </si>
  <si>
    <t>TBD</t>
  </si>
  <si>
    <t>Confirmation is defined as 34-50 cross of a pivot point.</t>
  </si>
  <si>
    <t>Determine which pivot points are best.</t>
  </si>
  <si>
    <t>Exited as defined in the criteria or not</t>
  </si>
  <si>
    <t>Pivot Point</t>
  </si>
  <si>
    <t>Strong Swings</t>
  </si>
  <si>
    <t>Alerts</t>
  </si>
  <si>
    <t>D chart</t>
  </si>
  <si>
    <t>Enter when confirmation happens at a strong level</t>
  </si>
  <si>
    <t>Enter as soon as level is reached</t>
  </si>
  <si>
    <t>RR level is met</t>
  </si>
  <si>
    <t>Confirmation is defined as resolution of outcome after touching the line. Need to work more on this definition.</t>
  </si>
  <si>
    <t>Reversal vs Continuation analysis</t>
  </si>
  <si>
    <t>Optimization of taking profits along the way</t>
  </si>
  <si>
    <t>Need backtesting to check what a confirmation has looked like in the past.</t>
  </si>
  <si>
    <t>Strong Level Quick Trades</t>
  </si>
  <si>
    <t>10m Chart</t>
  </si>
  <si>
    <t>Enter when the first candle closes favorable (big wick, reversal close), join the reversal.</t>
  </si>
  <si>
    <t>Confirmation is defined as a candle closing below previous candle low</t>
  </si>
  <si>
    <t>Retested is defined as pivot point failed a second a time</t>
  </si>
  <si>
    <t>Retested</t>
  </si>
  <si>
    <t>Find if it's worth confirmation of a candle close</t>
  </si>
  <si>
    <t>Find which lines work best as pivot points</t>
  </si>
  <si>
    <t>Find relation with market trend as confirmation bias</t>
  </si>
  <si>
    <t>See if 5m chart works better</t>
  </si>
  <si>
    <t>Find if retested and a second fail can work as better confirmation</t>
  </si>
  <si>
    <t>Need backtesting to check what lines work better</t>
  </si>
  <si>
    <t>See if an RR can be defined by waiting for the first candle to close</t>
  </si>
  <si>
    <t>Trend 10 min Trades</t>
  </si>
  <si>
    <t>Enter when daily defined levels are broken or failed to be broken by candle close</t>
  </si>
  <si>
    <t>Enter as soon as something is happening at level (broken or failed)</t>
  </si>
  <si>
    <t>Profit level is met</t>
  </si>
  <si>
    <t>Confirmation is defined by a candle closing with the trend</t>
  </si>
  <si>
    <t>Zack Morris SPY trades</t>
  </si>
  <si>
    <t>FU Club Discord</t>
  </si>
  <si>
    <t>Cheaper price than ZM</t>
  </si>
  <si>
    <t>Seeing ZM call</t>
  </si>
  <si>
    <t>My exit versus ZM's measured in Avg Return.</t>
  </si>
  <si>
    <t>ZM SPY</t>
  </si>
  <si>
    <t>Matching Rich exit</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</si>
  <si>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</si>
  <si>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</si>
  <si>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</si>
  <si>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</si>
  <si>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</si>
  <si>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</si>
  <si>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</si>
  <si>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</si>
  <si>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</si>
  <si>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</si>
  <si>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</si>
  <si>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</si>
  <si>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</si>
  <si>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</si>
  <si>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</si>
  <si>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</si>
  <si>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</si>
  <si>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</si>
  <si>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</si>
  <si>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</si>
  <si>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</si>
  <si>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</si>
  <si>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</si>
  <si>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</si>
  <si>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</si>
  <si>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</si>
  <si>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</si>
  <si>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</si>
  <si>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</si>
  <si>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</si>
  <si>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</si>
  <si>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</si>
  <si>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</si>
  <si>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</si>
  <si>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</si>
  <si>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</si>
  <si>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</si>
  <si>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</si>
  <si>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</si>
  <si>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</si>
  <si>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</si>
  <si>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</si>
  <si>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Return</t>
  </si>
  <si>
    <t>Unique ID for the trade.</t>
  </si>
  <si>
    <t>Defines the maximum possible losses that could have taken place during the trade.</t>
  </si>
  <si>
    <t>Defines the maximum possible profits that could have taken place during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</si>
  <si>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</si>
  <si>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</si>
  <si>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</si>
  <si>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</si>
  <si>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</si>
  <si>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</si>
  <si>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</si>
  <si>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</si>
  <si>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</si>
  <si>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</si>
  <si>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</si>
  <si>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</si>
  <si>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</si>
  <si>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</si>
  <si>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</si>
  <si>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</si>
  <si>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</si>
  <si>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</si>
  <si>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</si>
  <si>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</si>
  <si>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</si>
  <si>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</si>
  <si>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</si>
  <si>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</si>
  <si>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</si>
  <si>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</si>
  <si>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</si>
  <si>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</si>
  <si>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</si>
  <si>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</si>
  <si>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</si>
  <si>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</si>
  <si>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</si>
  <si>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Perform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</si>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</sst>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00"/>
    <numFmt numFmtId="165" formatCode="yyyy\-mm\-dd\ h:mm:ss"/>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sz val="11"/>
      <color rgb="FF0070C0"/>
      <name val="Calibri"/>
      <family val="2"/>
      <scheme val="minor"/>
    </font>
    <font>
      <sz val="11"/>
      <name val="Calibri"/>
      <family val="2"/>
    </font>
    <font>
      <b/>
      <i/>
      <sz val="11"/>
      <color rgb="FF00B050"/>
      <name val="Calibri"/>
      <family val="2"/>
      <scheme val="minor"/>
    </font>
    <font>
      <b/>
      <i/>
      <sz val="11"/>
      <color rgb="FF0070C0"/>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diagonal/>
    </border>
  </borders>
  <cellStyleXfs count="6">
    <xf numFmtId="0" fontId="0" fillId="0" borderId="1"/>
    <xf numFmtId="0" fontId="5" fillId="0" borderId="1"/>
    <xf numFmtId="0" fontId="7" fillId="0" borderId="1"/>
    <xf numFmtId="0" fontId="6" fillId="0" borderId="1"/>
    <xf numFmtId="9" fontId="8" fillId="0" borderId="1"/>
    <xf numFmtId="164" fontId="13" fillId="0" borderId="1"/>
  </cellStyleXfs>
  <cellXfs count="34">
    <xf numFmtId="0" fontId="0" fillId="0" borderId="0" xfId="0" applyBorder="1"/>
    <xf numFmtId="0" fontId="1" fillId="0" borderId="0" xfId="0" applyFont="1" applyBorder="1"/>
    <xf numFmtId="0" fontId="0" fillId="0" borderId="0" xfId="0" applyBorder="1" applyAlignment="1">
      <alignment horizontal="left" vertical="center"/>
    </xf>
    <xf numFmtId="14"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2" fillId="0" borderId="0" xfId="0" applyFont="1" applyBorder="1" applyAlignment="1">
      <alignment horizontal="left" vertical="center"/>
    </xf>
    <xf numFmtId="0" fontId="3" fillId="0" borderId="0" xfId="0" applyFont="1" applyBorder="1" applyAlignment="1">
      <alignment horizontal="left" vertical="center"/>
    </xf>
    <xf numFmtId="14" fontId="4" fillId="0" borderId="0" xfId="0" applyNumberFormat="1" applyFont="1" applyBorder="1" applyAlignment="1">
      <alignment horizontal="left" vertical="center"/>
    </xf>
    <xf numFmtId="164"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14" fontId="0" fillId="0" borderId="0" xfId="0" applyNumberFormat="1" applyBorder="1"/>
    <xf numFmtId="9" fontId="0" fillId="0" borderId="0" xfId="4" applyFont="1" applyBorder="1"/>
    <xf numFmtId="9" fontId="9" fillId="0" borderId="0" xfId="4" applyFont="1" applyBorder="1"/>
    <xf numFmtId="0" fontId="9" fillId="0" borderId="0" xfId="0" applyFont="1" applyBorder="1"/>
    <xf numFmtId="0" fontId="10" fillId="0" borderId="0" xfId="0" applyFont="1" applyBorder="1"/>
    <xf numFmtId="0" fontId="11" fillId="0" borderId="0" xfId="0" applyFont="1" applyBorder="1"/>
    <xf numFmtId="0" fontId="12" fillId="0" borderId="0" xfId="0" applyFont="1" applyBorder="1"/>
    <xf numFmtId="164" fontId="9" fillId="0" borderId="0" xfId="0" applyNumberFormat="1" applyFont="1" applyBorder="1"/>
    <xf numFmtId="0" fontId="12" fillId="0" borderId="0" xfId="0" applyFont="1" applyBorder="1" applyAlignment="1">
      <alignment horizontal="left" vertical="center"/>
    </xf>
    <xf numFmtId="14" fontId="12" fillId="0" borderId="0" xfId="0" applyNumberFormat="1" applyFont="1" applyBorder="1" applyAlignment="1">
      <alignment horizontal="left" vertical="center"/>
    </xf>
    <xf numFmtId="164" fontId="12" fillId="0" borderId="0" xfId="0" applyNumberFormat="1" applyFont="1" applyBorder="1" applyAlignment="1">
      <alignment horizontal="left" vertical="center"/>
    </xf>
    <xf numFmtId="4" fontId="0" fillId="0" borderId="0" xfId="0" applyNumberFormat="1" applyBorder="1" applyAlignment="1">
      <alignment horizontal="left" vertical="center"/>
    </xf>
    <xf numFmtId="14" fontId="12" fillId="0" borderId="0" xfId="0" applyNumberFormat="1" applyFont="1" applyBorder="1"/>
    <xf numFmtId="0" fontId="0" fillId="2" borderId="0" xfId="0" applyFill="1" applyBorder="1"/>
    <xf numFmtId="0" fontId="0" fillId="0" borderId="0" xfId="0" applyBorder="1" applyAlignment="1">
      <alignment wrapText="1"/>
    </xf>
    <xf numFmtId="14" fontId="9" fillId="0" borderId="0" xfId="0" applyNumberFormat="1" applyFont="1" applyBorder="1"/>
    <xf numFmtId="7" fontId="0" fillId="0" borderId="0" xfId="0" applyNumberFormat="1" applyBorder="1"/>
    <xf numFmtId="0" fontId="9" fillId="0" borderId="1" xfId="0" applyFont="1"/>
    <xf numFmtId="0" fontId="14" fillId="0" borderId="0" xfId="0" applyFont="1" applyBorder="1"/>
    <xf numFmtId="0" fontId="15" fillId="0" borderId="0" xfId="0" applyFont="1" applyBorder="1"/>
    <xf numFmtId="165" fontId="0" fillId="0" borderId="0" xfId="0" applyNumberFormat="1" applyBorder="1"/>
    <xf numFmtId="10" fontId="0" fillId="0" borderId="0" xfId="0" applyNumberFormat="1" applyBorder="1"/>
    <xf numFmtId="0" fontId="1" fillId="0" borderId="1" xfId="0" applyFont="1"/>
  </cellXfs>
  <cellStyles count="6">
    <cellStyle name="currency" xfId="5" xr:uid="{00000000-0005-0000-0000-000005000000}"/>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26">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25"/>
      <tableStyleElement type="headerRow" dxfId="24"/>
      <tableStyleElement type="firstColumn" dxfId="23"/>
      <tableStyleElement type="lastColumn" dxfId="22"/>
      <tableStyleElement type="first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20" dataDxfId="19">
  <autoFilter ref="A1:U57" xr:uid="{00000000-0009-0000-0100-000001000000}"/>
  <tableColumns count="21">
    <tableColumn id="1" xr3:uid="{00000000-0010-0000-0000-000001000000}" name="Ticker" dataDxfId="18"/>
    <tableColumn id="2" xr3:uid="{00000000-0010-0000-0000-000002000000}" name="Date" dataDxfId="17"/>
    <tableColumn id="3" xr3:uid="{00000000-0010-0000-0000-000003000000}" name="Current Price" dataDxfId="16"/>
    <tableColumn id="4" xr3:uid="{00000000-0010-0000-0000-000004000000}" name="Target Entry" dataDxfId="15"/>
    <tableColumn id="5" xr3:uid="{00000000-0010-0000-0000-000005000000}" name="Target Price" dataDxfId="14"/>
    <tableColumn id="6" xr3:uid="{00000000-0010-0000-0000-000006000000}" name="Stop" dataDxfId="13"/>
    <tableColumn id="7" xr3:uid="{00000000-0010-0000-0000-000007000000}" name="RR Ratio" dataDxfId="12">
      <calculatedColumnFormula>(Table2[[#This Row],[Target Price]]-Table2[[#This Row],[Target Entry]])/(Table2[[#This Row],[Target Entry]]-Table2[[#This Row],[Stop]])</calculatedColumnFormula>
    </tableColumn>
    <tableColumn id="8" xr3:uid="{00000000-0010-0000-0000-000008000000}" name="Trade Direction" dataDxfId="11"/>
    <tableColumn id="10" xr3:uid="{00000000-0010-0000-0000-00000A000000}" name="Strategy" dataDxfId="10"/>
    <tableColumn id="20" xr3:uid="{00000000-0010-0000-0000-000014000000}" name="Market"/>
    <tableColumn id="19" xr3:uid="{00000000-0010-0000-0000-000013000000}" name="Relative"/>
    <tableColumn id="11" xr3:uid="{00000000-0010-0000-0000-00000B000000}" name="1hr Trend" dataDxfId="9"/>
    <tableColumn id="14" xr3:uid="{00000000-0010-0000-0000-00000E000000}" name="1hr Cloud" dataDxfId="8"/>
    <tableColumn id="15" xr3:uid="{00000000-0010-0000-0000-00000F000000}" name="Intended Position" dataDxfId="7"/>
    <tableColumn id="18" xr3:uid="{00000000-0010-0000-0000-000012000000}" name="To win Money" dataDxfId="6">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5">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4"/>
    <tableColumn id="17" xr3:uid="{00000000-0010-0000-0000-000011000000}" name="Sourced" dataDxfId="3"/>
    <tableColumn id="12" xr3:uid="{00000000-0010-0000-0000-00000C000000}" name="Quality" dataDxfId="2"/>
    <tableColumn id="13" xr3:uid="{00000000-0010-0000-0000-00000D000000}" name="Filter" dataDxfId="1"/>
    <tableColumn id="23" xr3:uid="{00000000-0010-0000-0000-000017000000}" name="Trade ID"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B2" sqref="B2"/>
    </sheetView>
  </sheetViews>
  <sheetFormatPr defaultRowHeight="14.5" x14ac:dyDescent="0.35"/>
  <cols>
    <col min="1" max="1" width="19.26953125" style="11" customWidth="1"/>
  </cols>
  <sheetData>
    <row r="1" spans="1:6" x14ac:dyDescent="0.35">
      <c r="A1" s="26" t="s">
        <v>2</v>
      </c>
      <c r="B1" s="14" t="s">
        <v>3</v>
      </c>
      <c r="C1" s="14" t="s">
        <v>4</v>
      </c>
      <c r="D1" s="14" t="s">
        <v>5</v>
      </c>
      <c r="E1" s="14" t="s">
        <v>6</v>
      </c>
      <c r="F1"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6"/>
  <sheetViews>
    <sheetView zoomScaleNormal="100" workbookViewId="0">
      <selection activeCell="A4" sqref="A4"/>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23" t="s">
        <v>2</v>
      </c>
      <c r="B1" s="17" t="s">
        <v>3</v>
      </c>
      <c r="C1" s="17" t="s">
        <v>8</v>
      </c>
      <c r="D1" s="17" t="s">
        <v>9</v>
      </c>
      <c r="E1" s="17" t="s">
        <v>10</v>
      </c>
      <c r="F1" s="17" t="s">
        <v>11</v>
      </c>
      <c r="G1" s="17" t="s">
        <v>12</v>
      </c>
      <c r="H1" s="17" t="s">
        <v>5</v>
      </c>
      <c r="I1" s="17" t="s">
        <v>6</v>
      </c>
      <c r="J1" s="17" t="s">
        <v>4</v>
      </c>
      <c r="K1" s="17" t="s">
        <v>13</v>
      </c>
      <c r="L1" s="17" t="s">
        <v>14</v>
      </c>
      <c r="M1" s="17" t="s">
        <v>15</v>
      </c>
    </row>
    <row r="2" spans="1:13" ht="14.5" customHeight="1" x14ac:dyDescent="0.35">
      <c r="A2" s="11">
        <v>45445</v>
      </c>
      <c r="B2" t="s">
        <v>16</v>
      </c>
      <c r="C2">
        <v>100</v>
      </c>
      <c r="D2" t="s">
        <v>17</v>
      </c>
      <c r="E2" t="s">
        <v>17</v>
      </c>
      <c r="F2" t="s">
        <v>18</v>
      </c>
      <c r="G2" t="s">
        <v>19</v>
      </c>
      <c r="H2">
        <v>90</v>
      </c>
      <c r="I2">
        <v>150</v>
      </c>
      <c r="J2" t="s">
        <v>20</v>
      </c>
      <c r="L2" s="25" t="s">
        <v>21</v>
      </c>
    </row>
    <row r="3" spans="1:13" ht="14.5" customHeight="1" x14ac:dyDescent="0.35">
      <c r="A3" s="11">
        <v>45445</v>
      </c>
      <c r="B3" t="s">
        <v>22</v>
      </c>
      <c r="C3">
        <v>110</v>
      </c>
      <c r="D3" t="s">
        <v>23</v>
      </c>
      <c r="E3" t="s">
        <v>17</v>
      </c>
      <c r="F3" t="s">
        <v>18</v>
      </c>
      <c r="G3" t="s">
        <v>19</v>
      </c>
      <c r="H3">
        <v>5.5</v>
      </c>
      <c r="I3">
        <v>3020.8</v>
      </c>
      <c r="J3" t="s">
        <v>20</v>
      </c>
      <c r="L3" t="s">
        <v>24</v>
      </c>
    </row>
    <row r="4" spans="1:13" ht="14.5" customHeight="1" x14ac:dyDescent="0.35">
      <c r="A4" s="11">
        <v>45425</v>
      </c>
      <c r="B4" t="s">
        <v>25</v>
      </c>
      <c r="C4">
        <v>120</v>
      </c>
      <c r="D4" t="s">
        <v>23</v>
      </c>
      <c r="E4" t="s">
        <v>17</v>
      </c>
      <c r="F4" t="s">
        <v>18</v>
      </c>
      <c r="G4" t="s">
        <v>19</v>
      </c>
      <c r="H4">
        <v>5.5</v>
      </c>
      <c r="I4">
        <v>3020.8</v>
      </c>
      <c r="J4" t="s">
        <v>20</v>
      </c>
      <c r="L4" t="s">
        <v>26</v>
      </c>
    </row>
    <row r="5" spans="1:13" ht="14.5" customHeight="1" x14ac:dyDescent="0.35">
      <c r="A5" s="11">
        <v>45425</v>
      </c>
      <c r="B5" t="s">
        <v>27</v>
      </c>
      <c r="C5">
        <v>130</v>
      </c>
      <c r="D5" t="s">
        <v>23</v>
      </c>
      <c r="E5" t="s">
        <v>23</v>
      </c>
      <c r="F5" t="s">
        <v>18</v>
      </c>
      <c r="G5" t="s">
        <v>19</v>
      </c>
      <c r="H5">
        <v>5.5</v>
      </c>
      <c r="I5">
        <v>3020.8</v>
      </c>
      <c r="J5" t="s">
        <v>20</v>
      </c>
      <c r="L5" t="s">
        <v>28</v>
      </c>
      <c r="M5" t="s">
        <v>29</v>
      </c>
    </row>
    <row r="6" spans="1:13" ht="14.5" customHeight="1" x14ac:dyDescent="0.35">
      <c r="A6" s="11">
        <v>45425</v>
      </c>
      <c r="B6" t="s">
        <v>30</v>
      </c>
      <c r="C6">
        <v>140</v>
      </c>
      <c r="D6" t="s">
        <v>23</v>
      </c>
      <c r="E6" t="s">
        <v>23</v>
      </c>
      <c r="F6" t="s">
        <v>18</v>
      </c>
      <c r="G6" t="s">
        <v>31</v>
      </c>
      <c r="H6">
        <v>5.5</v>
      </c>
      <c r="I6">
        <v>3020.8</v>
      </c>
      <c r="J6" t="s">
        <v>20</v>
      </c>
      <c r="L6" t="s">
        <v>24</v>
      </c>
    </row>
    <row r="7" spans="1:13" ht="14.5" customHeight="1" x14ac:dyDescent="0.35">
      <c r="A7" s="11">
        <v>45425</v>
      </c>
      <c r="B7" t="s">
        <v>32</v>
      </c>
      <c r="C7">
        <v>150</v>
      </c>
      <c r="D7" t="s">
        <v>23</v>
      </c>
      <c r="E7" t="s">
        <v>23</v>
      </c>
      <c r="F7" t="s">
        <v>18</v>
      </c>
      <c r="G7" t="s">
        <v>33</v>
      </c>
      <c r="H7">
        <v>5.5</v>
      </c>
      <c r="I7">
        <v>3020.8</v>
      </c>
      <c r="J7" t="s">
        <v>20</v>
      </c>
      <c r="L7" t="s">
        <v>34</v>
      </c>
    </row>
    <row r="8" spans="1:13" ht="14.5" customHeight="1" x14ac:dyDescent="0.35">
      <c r="A8" s="11">
        <v>45425</v>
      </c>
      <c r="B8" t="s">
        <v>35</v>
      </c>
      <c r="C8">
        <v>160</v>
      </c>
      <c r="D8" t="s">
        <v>17</v>
      </c>
      <c r="E8" t="s">
        <v>23</v>
      </c>
      <c r="F8" t="s">
        <v>36</v>
      </c>
      <c r="G8" t="s">
        <v>37</v>
      </c>
      <c r="H8">
        <v>5.5</v>
      </c>
      <c r="I8">
        <v>3020.8</v>
      </c>
      <c r="J8" t="s">
        <v>20</v>
      </c>
      <c r="L8" t="s">
        <v>38</v>
      </c>
      <c r="M8" t="s">
        <v>29</v>
      </c>
    </row>
    <row r="9" spans="1:13" ht="14.5" customHeight="1" x14ac:dyDescent="0.35">
      <c r="A9" s="11">
        <v>45425</v>
      </c>
      <c r="B9" t="s">
        <v>39</v>
      </c>
      <c r="C9">
        <v>170</v>
      </c>
      <c r="D9" t="s">
        <v>17</v>
      </c>
      <c r="E9" t="s">
        <v>23</v>
      </c>
      <c r="F9" t="s">
        <v>36</v>
      </c>
      <c r="G9" t="s">
        <v>37</v>
      </c>
      <c r="H9">
        <v>85</v>
      </c>
      <c r="I9">
        <v>120.5</v>
      </c>
      <c r="J9" t="s">
        <v>20</v>
      </c>
      <c r="L9" t="s">
        <v>40</v>
      </c>
      <c r="M9" t="s">
        <v>29</v>
      </c>
    </row>
    <row r="10" spans="1:13" ht="14.5" customHeight="1" x14ac:dyDescent="0.35">
      <c r="A10" s="11">
        <v>45425</v>
      </c>
    </row>
    <row r="11" spans="1:13" ht="14.5" customHeight="1" x14ac:dyDescent="0.35">
      <c r="A11" s="11">
        <v>45425</v>
      </c>
    </row>
    <row r="12" spans="1:13" ht="14.5" customHeight="1" x14ac:dyDescent="0.35">
      <c r="A12" s="11">
        <v>45425</v>
      </c>
      <c r="B12" t="s">
        <v>39</v>
      </c>
      <c r="C12">
        <v>130</v>
      </c>
      <c r="D12" t="s">
        <v>17</v>
      </c>
      <c r="E12" t="s">
        <v>23</v>
      </c>
      <c r="F12" t="s">
        <v>36</v>
      </c>
      <c r="G12" t="s">
        <v>37</v>
      </c>
      <c r="H12">
        <v>85</v>
      </c>
      <c r="I12">
        <v>120.5</v>
      </c>
      <c r="J12" t="s">
        <v>20</v>
      </c>
      <c r="L12" t="s">
        <v>40</v>
      </c>
      <c r="M12" t="s">
        <v>29</v>
      </c>
    </row>
    <row r="13" spans="1:13" ht="14.5" customHeight="1" x14ac:dyDescent="0.35">
      <c r="A13" s="11">
        <v>45426</v>
      </c>
      <c r="B13" t="s">
        <v>41</v>
      </c>
      <c r="C13">
        <v>100</v>
      </c>
      <c r="D13" t="s">
        <v>17</v>
      </c>
      <c r="E13" t="s">
        <v>17</v>
      </c>
      <c r="F13" t="s">
        <v>18</v>
      </c>
      <c r="G13" t="s">
        <v>19</v>
      </c>
      <c r="H13">
        <v>90</v>
      </c>
      <c r="I13">
        <v>150</v>
      </c>
      <c r="J13" t="s">
        <v>20</v>
      </c>
      <c r="L13" s="25" t="s">
        <v>21</v>
      </c>
      <c r="M13" t="s">
        <v>29</v>
      </c>
    </row>
    <row r="14" spans="1:13" ht="14.5" customHeight="1" x14ac:dyDescent="0.35">
      <c r="A14" s="11">
        <v>45426</v>
      </c>
      <c r="B14" t="s">
        <v>42</v>
      </c>
      <c r="C14">
        <v>100</v>
      </c>
      <c r="D14" t="s">
        <v>17</v>
      </c>
      <c r="E14" t="s">
        <v>17</v>
      </c>
      <c r="F14" t="s">
        <v>18</v>
      </c>
      <c r="G14" t="s">
        <v>19</v>
      </c>
      <c r="H14">
        <v>90</v>
      </c>
      <c r="I14">
        <v>150</v>
      </c>
      <c r="J14" t="s">
        <v>20</v>
      </c>
      <c r="L14" s="25" t="s">
        <v>21</v>
      </c>
    </row>
    <row r="15" spans="1:13" ht="14.5" customHeight="1" x14ac:dyDescent="0.35">
      <c r="A15" s="11">
        <v>45426</v>
      </c>
      <c r="B15" t="s">
        <v>43</v>
      </c>
      <c r="C15">
        <v>100</v>
      </c>
      <c r="D15" t="s">
        <v>17</v>
      </c>
      <c r="E15" t="s">
        <v>17</v>
      </c>
      <c r="F15" t="s">
        <v>18</v>
      </c>
      <c r="G15" t="s">
        <v>19</v>
      </c>
      <c r="H15">
        <v>90</v>
      </c>
      <c r="I15">
        <v>150</v>
      </c>
      <c r="J15" t="s">
        <v>20</v>
      </c>
      <c r="L15" s="25" t="s">
        <v>21</v>
      </c>
      <c r="M15" t="s">
        <v>29</v>
      </c>
    </row>
    <row r="16" spans="1:13" ht="14.5" customHeight="1" x14ac:dyDescent="0.35">
      <c r="A16" s="11">
        <v>45427</v>
      </c>
      <c r="B16" t="s">
        <v>44</v>
      </c>
      <c r="C16">
        <v>100</v>
      </c>
      <c r="D16" t="s">
        <v>17</v>
      </c>
      <c r="E16" t="s">
        <v>17</v>
      </c>
      <c r="F16" t="s">
        <v>18</v>
      </c>
      <c r="G16" t="s">
        <v>19</v>
      </c>
      <c r="H16">
        <v>90</v>
      </c>
      <c r="I16">
        <v>150</v>
      </c>
      <c r="J16" t="s">
        <v>20</v>
      </c>
      <c r="L16" s="25" t="s">
        <v>21</v>
      </c>
      <c r="M16"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U2" sqref="U2"/>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19" t="s">
        <v>45</v>
      </c>
      <c r="B1" s="20" t="s">
        <v>2</v>
      </c>
      <c r="C1" s="21" t="s">
        <v>8</v>
      </c>
      <c r="D1" s="21" t="s">
        <v>46</v>
      </c>
      <c r="E1" s="21" t="s">
        <v>47</v>
      </c>
      <c r="F1" s="21" t="s">
        <v>48</v>
      </c>
      <c r="G1" s="22" t="s">
        <v>49</v>
      </c>
      <c r="H1" s="19" t="s">
        <v>50</v>
      </c>
      <c r="I1" s="19" t="s">
        <v>51</v>
      </c>
      <c r="J1" s="19" t="s">
        <v>52</v>
      </c>
      <c r="K1" s="19" t="s">
        <v>53</v>
      </c>
      <c r="L1" s="19" t="s">
        <v>54</v>
      </c>
      <c r="M1" s="19" t="s">
        <v>55</v>
      </c>
      <c r="N1" s="21" t="s">
        <v>56</v>
      </c>
      <c r="O1" s="4" t="s">
        <v>57</v>
      </c>
      <c r="P1" s="4" t="s">
        <v>58</v>
      </c>
      <c r="Q1" s="21" t="s">
        <v>59</v>
      </c>
      <c r="R1" s="21" t="s">
        <v>60</v>
      </c>
      <c r="S1" s="21" t="s">
        <v>61</v>
      </c>
      <c r="T1" s="21" t="s">
        <v>62</v>
      </c>
      <c r="U1" s="18" t="s">
        <v>63</v>
      </c>
    </row>
    <row r="2" spans="1:21" x14ac:dyDescent="0.35">
      <c r="A2" s="5"/>
      <c r="B2" s="3"/>
      <c r="C2" s="4"/>
      <c r="D2" s="4"/>
      <c r="E2" s="4"/>
      <c r="F2" s="4"/>
      <c r="G2" s="22"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c r="B3" s="3"/>
      <c r="C3" s="4"/>
      <c r="D3" s="4"/>
      <c r="E3" s="4"/>
      <c r="F3" s="4"/>
      <c r="G3" s="22"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c r="B4" s="3"/>
      <c r="C4" s="4"/>
      <c r="D4" s="4"/>
      <c r="E4" s="4"/>
      <c r="F4" s="4"/>
      <c r="G4" s="22"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5"/>
    </row>
    <row r="5" spans="1:21" x14ac:dyDescent="0.35">
      <c r="A5" s="5"/>
      <c r="B5" s="3"/>
      <c r="C5" s="4"/>
      <c r="D5" s="4"/>
      <c r="E5" s="4"/>
      <c r="F5" s="4"/>
      <c r="G5" s="22"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2"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2"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2"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2"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2"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2"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2"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2"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2"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2"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2"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2"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2"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2"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2"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2"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2"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2"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2"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2"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2"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2"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2"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2"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2"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2"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2"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2"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2"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2"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2"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2"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2"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2"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2"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2"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2"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2"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2"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2"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2"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2"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2"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2"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2"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2"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2"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2"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2"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2"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2"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21"/>
  <sheetViews>
    <sheetView workbookViewId="0">
      <selection activeCell="K7" sqref="K7"/>
    </sheetView>
  </sheetViews>
  <sheetFormatPr defaultRowHeight="14.5" x14ac:dyDescent="0.35"/>
  <cols>
    <col min="1" max="4" width="8.7265625" style="14" customWidth="1"/>
    <col min="5" max="5" width="10.54296875" style="14" customWidth="1"/>
    <col min="6" max="6" width="8.7265625" style="14" customWidth="1"/>
    <col min="7" max="7" width="18.08984375" style="14" customWidth="1"/>
    <col min="8" max="18" width="8.7265625" style="14" customWidth="1"/>
    <col min="19" max="20" width="8.7265625" style="28" customWidth="1"/>
    <col min="21" max="24" width="8.7265625" style="14" customWidth="1"/>
    <col min="25" max="25" width="14.81640625" style="12" customWidth="1"/>
    <col min="26" max="27" width="8.7265625" style="13" customWidth="1"/>
    <col min="28" max="29" width="8.7265625" style="14" customWidth="1"/>
  </cols>
  <sheetData>
    <row r="1" spans="1:29" x14ac:dyDescent="0.35">
      <c r="A1" s="14" t="s">
        <v>64</v>
      </c>
      <c r="B1" s="17" t="s">
        <v>63</v>
      </c>
      <c r="C1" s="14" t="s">
        <v>3</v>
      </c>
      <c r="D1" s="17" t="s">
        <v>60</v>
      </c>
      <c r="E1" s="14" t="s">
        <v>65</v>
      </c>
      <c r="F1" s="14" t="s">
        <v>66</v>
      </c>
      <c r="G1" s="14" t="s">
        <v>67</v>
      </c>
      <c r="H1" s="14" t="s">
        <v>68</v>
      </c>
      <c r="I1" s="14" t="s">
        <v>69</v>
      </c>
      <c r="J1" s="14" t="s">
        <v>70</v>
      </c>
      <c r="K1" s="14" t="s">
        <v>71</v>
      </c>
      <c r="L1" s="14" t="s">
        <v>72</v>
      </c>
      <c r="M1" s="14" t="s">
        <v>73</v>
      </c>
      <c r="N1" s="14" t="s">
        <v>74</v>
      </c>
      <c r="O1" s="14" t="s">
        <v>75</v>
      </c>
      <c r="P1" s="14" t="s">
        <v>76</v>
      </c>
      <c r="Q1" s="14" t="s">
        <v>77</v>
      </c>
      <c r="R1" s="14" t="s">
        <v>78</v>
      </c>
      <c r="S1" s="28" t="s">
        <v>79</v>
      </c>
      <c r="T1" s="28" t="s">
        <v>80</v>
      </c>
      <c r="U1" s="14" t="s">
        <v>81</v>
      </c>
      <c r="V1" s="14" t="s">
        <v>82</v>
      </c>
      <c r="W1" s="14" t="s">
        <v>83</v>
      </c>
      <c r="X1" s="14" t="s">
        <v>84</v>
      </c>
      <c r="Y1" s="12" t="s">
        <v>85</v>
      </c>
      <c r="Z1" s="13" t="s">
        <v>86</v>
      </c>
      <c r="AA1" s="13" t="s">
        <v>87</v>
      </c>
      <c r="AB1" s="14" t="s">
        <v>88</v>
      </c>
      <c r="AC1" s="14" t="s">
        <v>89</v>
      </c>
    </row>
    <row r="2" spans="1:29" x14ac:dyDescent="0.35">
      <c r="A2" t="s">
        <v>90</v>
      </c>
      <c r="B2">
        <v>4</v>
      </c>
      <c r="C2" t="s">
        <v>91</v>
      </c>
      <c r="E2">
        <v>1</v>
      </c>
      <c r="F2" t="s">
        <v>92</v>
      </c>
      <c r="G2" s="31">
        <v>45401</v>
      </c>
      <c r="H2" t="s">
        <v>93</v>
      </c>
      <c r="N2" t="s">
        <v>94</v>
      </c>
      <c r="S2" s="27">
        <v>5.8</v>
      </c>
      <c r="T2" s="27">
        <v>6</v>
      </c>
      <c r="U2" s="27">
        <v>5.8</v>
      </c>
      <c r="V2" s="27">
        <v>6</v>
      </c>
      <c r="W2" s="27">
        <v>17.64</v>
      </c>
      <c r="X2" t="s">
        <v>95</v>
      </c>
      <c r="Y2" s="32">
        <f t="shared" ref="Y2:Y21" si="0">(V2-U2)/U2</f>
        <v>3.4482758620689689E-2</v>
      </c>
      <c r="Z2" s="27">
        <v>-95</v>
      </c>
      <c r="AA2" s="27">
        <v>20</v>
      </c>
      <c r="AB2" s="27"/>
      <c r="AC2" s="32"/>
    </row>
    <row r="3" spans="1:29" x14ac:dyDescent="0.35">
      <c r="A3" t="s">
        <v>90</v>
      </c>
      <c r="B3">
        <v>16</v>
      </c>
      <c r="C3" t="s">
        <v>91</v>
      </c>
      <c r="E3">
        <v>1</v>
      </c>
      <c r="F3" t="s">
        <v>92</v>
      </c>
      <c r="G3" s="31">
        <v>45401</v>
      </c>
      <c r="H3" t="s">
        <v>93</v>
      </c>
      <c r="N3" t="s">
        <v>94</v>
      </c>
      <c r="S3" s="27">
        <v>5.8</v>
      </c>
      <c r="T3" s="27">
        <v>6</v>
      </c>
      <c r="U3" s="27">
        <v>5.8</v>
      </c>
      <c r="V3" s="27">
        <v>6</v>
      </c>
      <c r="W3" s="27">
        <v>17.64</v>
      </c>
      <c r="X3" t="s">
        <v>95</v>
      </c>
      <c r="Y3" s="32">
        <f t="shared" si="0"/>
        <v>3.4482758620689689E-2</v>
      </c>
      <c r="Z3" s="27">
        <v>-95</v>
      </c>
      <c r="AA3" s="27">
        <v>20</v>
      </c>
      <c r="AB3" s="27"/>
      <c r="AC3" s="32"/>
    </row>
    <row r="4" spans="1:29" x14ac:dyDescent="0.35">
      <c r="A4" t="s">
        <v>90</v>
      </c>
      <c r="B4">
        <v>8</v>
      </c>
      <c r="C4" t="s">
        <v>91</v>
      </c>
      <c r="E4">
        <v>1</v>
      </c>
      <c r="F4" t="s">
        <v>92</v>
      </c>
      <c r="G4" s="31">
        <v>45401</v>
      </c>
      <c r="H4" t="s">
        <v>93</v>
      </c>
      <c r="N4" t="s">
        <v>94</v>
      </c>
      <c r="S4" s="27">
        <v>5.8</v>
      </c>
      <c r="T4" s="27">
        <v>6</v>
      </c>
      <c r="U4" s="27">
        <v>5.8</v>
      </c>
      <c r="V4" s="27">
        <v>6</v>
      </c>
      <c r="W4" s="27">
        <v>17.64</v>
      </c>
      <c r="X4" t="s">
        <v>95</v>
      </c>
      <c r="Y4" s="32">
        <f t="shared" si="0"/>
        <v>3.4482758620689689E-2</v>
      </c>
      <c r="Z4" s="27">
        <v>-95</v>
      </c>
      <c r="AA4" s="27">
        <v>20</v>
      </c>
      <c r="AB4" s="27"/>
      <c r="AC4" s="32"/>
    </row>
    <row r="5" spans="1:29" x14ac:dyDescent="0.35">
      <c r="A5" t="s">
        <v>90</v>
      </c>
      <c r="B5">
        <v>20</v>
      </c>
      <c r="C5" t="s">
        <v>91</v>
      </c>
      <c r="E5">
        <v>1</v>
      </c>
      <c r="F5" t="s">
        <v>92</v>
      </c>
      <c r="G5" s="31">
        <v>45401</v>
      </c>
      <c r="H5" t="s">
        <v>93</v>
      </c>
      <c r="N5" t="s">
        <v>94</v>
      </c>
      <c r="S5" s="27">
        <v>5.8</v>
      </c>
      <c r="T5" s="27">
        <v>6</v>
      </c>
      <c r="U5" s="27">
        <v>5.8</v>
      </c>
      <c r="V5" s="27">
        <v>6</v>
      </c>
      <c r="W5" s="27">
        <v>17.64</v>
      </c>
      <c r="X5" t="s">
        <v>95</v>
      </c>
      <c r="Y5" s="32">
        <f t="shared" si="0"/>
        <v>3.4482758620689689E-2</v>
      </c>
      <c r="Z5" s="27">
        <v>-95</v>
      </c>
      <c r="AA5" s="27">
        <v>20</v>
      </c>
      <c r="AB5" s="27"/>
      <c r="AC5" s="32"/>
    </row>
    <row r="6" spans="1:29" x14ac:dyDescent="0.35">
      <c r="A6" t="s">
        <v>90</v>
      </c>
      <c r="B6">
        <v>12</v>
      </c>
      <c r="C6" t="s">
        <v>91</v>
      </c>
      <c r="E6">
        <v>1</v>
      </c>
      <c r="F6" t="s">
        <v>92</v>
      </c>
      <c r="G6" s="31">
        <v>45401</v>
      </c>
      <c r="H6" t="s">
        <v>93</v>
      </c>
      <c r="N6" t="s">
        <v>94</v>
      </c>
      <c r="S6" s="27">
        <v>5.8</v>
      </c>
      <c r="T6" s="27">
        <v>6</v>
      </c>
      <c r="U6" s="27">
        <v>5.8</v>
      </c>
      <c r="V6" s="27">
        <v>6</v>
      </c>
      <c r="W6" s="27">
        <v>17.64</v>
      </c>
      <c r="X6" t="s">
        <v>95</v>
      </c>
      <c r="Y6" s="32">
        <f t="shared" si="0"/>
        <v>3.4482758620689689E-2</v>
      </c>
      <c r="Z6" s="27">
        <v>-95</v>
      </c>
      <c r="AA6" s="27">
        <v>20</v>
      </c>
      <c r="AB6" s="27"/>
      <c r="AC6" s="32"/>
    </row>
    <row r="7" spans="1:29" x14ac:dyDescent="0.35">
      <c r="A7" t="s">
        <v>96</v>
      </c>
      <c r="B7">
        <v>2</v>
      </c>
      <c r="C7" t="s">
        <v>91</v>
      </c>
      <c r="E7">
        <v>1</v>
      </c>
      <c r="F7" t="s">
        <v>97</v>
      </c>
      <c r="G7" s="31">
        <v>45397</v>
      </c>
      <c r="S7" s="27">
        <v>7.8</v>
      </c>
      <c r="T7" s="27">
        <v>7.4</v>
      </c>
      <c r="U7" s="27">
        <v>7.8</v>
      </c>
      <c r="V7" s="27">
        <v>7.4</v>
      </c>
      <c r="W7" s="27">
        <v>-42.36</v>
      </c>
      <c r="X7" t="s">
        <v>95</v>
      </c>
      <c r="Y7" s="32">
        <f t="shared" si="0"/>
        <v>-5.1282051282051218E-2</v>
      </c>
      <c r="Z7" s="27">
        <v>-40</v>
      </c>
      <c r="AA7" s="27"/>
      <c r="AB7" s="27"/>
      <c r="AC7" s="32"/>
    </row>
    <row r="8" spans="1:29" x14ac:dyDescent="0.35">
      <c r="A8" t="s">
        <v>90</v>
      </c>
      <c r="B8">
        <v>3</v>
      </c>
      <c r="C8" t="s">
        <v>91</v>
      </c>
      <c r="E8">
        <v>1</v>
      </c>
      <c r="F8" t="s">
        <v>97</v>
      </c>
      <c r="G8" s="31">
        <v>45397</v>
      </c>
      <c r="H8" t="s">
        <v>93</v>
      </c>
      <c r="I8" t="s">
        <v>98</v>
      </c>
      <c r="S8" s="27">
        <v>6.3</v>
      </c>
      <c r="T8" s="27">
        <v>6.6</v>
      </c>
      <c r="U8" s="27">
        <v>6.3</v>
      </c>
      <c r="V8" s="27">
        <v>6.6</v>
      </c>
      <c r="W8" s="27">
        <v>27.64</v>
      </c>
      <c r="X8" t="s">
        <v>95</v>
      </c>
      <c r="Y8" s="32">
        <f t="shared" si="0"/>
        <v>4.7619047619047596E-2</v>
      </c>
      <c r="Z8" s="27">
        <v>20</v>
      </c>
      <c r="AA8" s="27">
        <v>30</v>
      </c>
      <c r="AB8" s="27"/>
      <c r="AC8" s="32"/>
    </row>
    <row r="9" spans="1:29" x14ac:dyDescent="0.35">
      <c r="A9" t="s">
        <v>96</v>
      </c>
      <c r="B9">
        <v>6</v>
      </c>
      <c r="C9" t="s">
        <v>91</v>
      </c>
      <c r="E9">
        <v>1</v>
      </c>
      <c r="F9" t="s">
        <v>97</v>
      </c>
      <c r="G9" s="31">
        <v>45397</v>
      </c>
      <c r="S9" s="27">
        <v>7.8</v>
      </c>
      <c r="T9" s="27">
        <v>7.4</v>
      </c>
      <c r="U9" s="27">
        <v>7.8</v>
      </c>
      <c r="V9" s="27">
        <v>7.4</v>
      </c>
      <c r="W9" s="27">
        <v>-42.36</v>
      </c>
      <c r="X9" t="s">
        <v>95</v>
      </c>
      <c r="Y9" s="32">
        <f t="shared" si="0"/>
        <v>-5.1282051282051218E-2</v>
      </c>
      <c r="Z9" s="27">
        <v>-40</v>
      </c>
      <c r="AA9" s="27"/>
      <c r="AB9" s="27"/>
      <c r="AC9" s="32"/>
    </row>
    <row r="10" spans="1:29" x14ac:dyDescent="0.35">
      <c r="A10" t="s">
        <v>90</v>
      </c>
      <c r="B10">
        <v>7</v>
      </c>
      <c r="C10" t="s">
        <v>91</v>
      </c>
      <c r="E10">
        <v>1</v>
      </c>
      <c r="F10" t="s">
        <v>97</v>
      </c>
      <c r="G10" s="31">
        <v>45397</v>
      </c>
      <c r="H10" t="s">
        <v>93</v>
      </c>
      <c r="I10" t="s">
        <v>98</v>
      </c>
      <c r="S10" s="27">
        <v>6.3</v>
      </c>
      <c r="T10" s="27">
        <v>6.6</v>
      </c>
      <c r="U10" s="27">
        <v>6.3</v>
      </c>
      <c r="V10" s="27">
        <v>6.6</v>
      </c>
      <c r="W10" s="27">
        <v>27.64</v>
      </c>
      <c r="X10" t="s">
        <v>95</v>
      </c>
      <c r="Y10" s="32">
        <f t="shared" si="0"/>
        <v>4.7619047619047596E-2</v>
      </c>
      <c r="Z10" s="27">
        <v>20</v>
      </c>
      <c r="AA10" s="27">
        <v>30</v>
      </c>
      <c r="AB10" s="27"/>
      <c r="AC10" s="32"/>
    </row>
    <row r="11" spans="1:29" x14ac:dyDescent="0.35">
      <c r="A11" t="s">
        <v>96</v>
      </c>
      <c r="B11">
        <v>10</v>
      </c>
      <c r="C11" t="s">
        <v>91</v>
      </c>
      <c r="E11">
        <v>1</v>
      </c>
      <c r="F11" t="s">
        <v>97</v>
      </c>
      <c r="G11" s="31">
        <v>45397</v>
      </c>
      <c r="S11" s="27">
        <v>7.8</v>
      </c>
      <c r="T11" s="27">
        <v>7.4</v>
      </c>
      <c r="U11" s="27">
        <v>7.8</v>
      </c>
      <c r="V11" s="27">
        <v>7.4</v>
      </c>
      <c r="W11" s="27">
        <v>-42.36</v>
      </c>
      <c r="X11" t="s">
        <v>95</v>
      </c>
      <c r="Y11" s="32">
        <f t="shared" si="0"/>
        <v>-5.1282051282051218E-2</v>
      </c>
      <c r="Z11" s="27">
        <v>-40</v>
      </c>
      <c r="AA11" s="27"/>
      <c r="AB11" s="27"/>
      <c r="AC11" s="32"/>
    </row>
    <row r="12" spans="1:29" x14ac:dyDescent="0.35">
      <c r="A12" t="s">
        <v>90</v>
      </c>
      <c r="B12">
        <v>11</v>
      </c>
      <c r="C12" t="s">
        <v>91</v>
      </c>
      <c r="E12">
        <v>1</v>
      </c>
      <c r="F12" t="s">
        <v>97</v>
      </c>
      <c r="G12" s="31">
        <v>45397</v>
      </c>
      <c r="H12" t="s">
        <v>93</v>
      </c>
      <c r="I12" t="s">
        <v>98</v>
      </c>
      <c r="S12" s="27">
        <v>6.3</v>
      </c>
      <c r="T12" s="27">
        <v>6.6</v>
      </c>
      <c r="U12" s="27">
        <v>6.3</v>
      </c>
      <c r="V12" s="27">
        <v>6.6</v>
      </c>
      <c r="W12" s="27">
        <v>27.64</v>
      </c>
      <c r="X12" t="s">
        <v>95</v>
      </c>
      <c r="Y12" s="32">
        <f t="shared" si="0"/>
        <v>4.7619047619047596E-2</v>
      </c>
      <c r="Z12" s="27">
        <v>20</v>
      </c>
      <c r="AA12" s="27">
        <v>30</v>
      </c>
      <c r="AB12" s="27"/>
      <c r="AC12" s="32"/>
    </row>
    <row r="13" spans="1:29" x14ac:dyDescent="0.35">
      <c r="A13" t="s">
        <v>90</v>
      </c>
      <c r="B13">
        <v>15</v>
      </c>
      <c r="C13" t="s">
        <v>91</v>
      </c>
      <c r="E13">
        <v>1</v>
      </c>
      <c r="F13" t="s">
        <v>97</v>
      </c>
      <c r="G13" s="31">
        <v>45397</v>
      </c>
      <c r="H13" t="s">
        <v>93</v>
      </c>
      <c r="I13" t="s">
        <v>98</v>
      </c>
      <c r="S13" s="27">
        <v>6.3</v>
      </c>
      <c r="T13" s="27">
        <v>6.6</v>
      </c>
      <c r="U13" s="27">
        <v>6.3</v>
      </c>
      <c r="V13" s="27">
        <v>6.6</v>
      </c>
      <c r="W13" s="27">
        <v>27.64</v>
      </c>
      <c r="X13" t="s">
        <v>95</v>
      </c>
      <c r="Y13" s="32">
        <f t="shared" si="0"/>
        <v>4.7619047619047596E-2</v>
      </c>
      <c r="Z13" s="27">
        <v>20</v>
      </c>
      <c r="AA13" s="27">
        <v>30</v>
      </c>
      <c r="AB13" s="27"/>
      <c r="AC13" s="32"/>
    </row>
    <row r="14" spans="1:29" x14ac:dyDescent="0.35">
      <c r="A14" t="s">
        <v>96</v>
      </c>
      <c r="B14">
        <v>18</v>
      </c>
      <c r="C14" t="s">
        <v>91</v>
      </c>
      <c r="E14">
        <v>1</v>
      </c>
      <c r="F14" t="s">
        <v>97</v>
      </c>
      <c r="G14" s="31">
        <v>45397</v>
      </c>
      <c r="S14" s="27">
        <v>7.8</v>
      </c>
      <c r="T14" s="27">
        <v>7.4</v>
      </c>
      <c r="U14" s="27">
        <v>7.8</v>
      </c>
      <c r="V14" s="27">
        <v>7.4</v>
      </c>
      <c r="W14" s="27">
        <v>-42.36</v>
      </c>
      <c r="X14" t="s">
        <v>95</v>
      </c>
      <c r="Y14" s="32">
        <f t="shared" si="0"/>
        <v>-5.1282051282051218E-2</v>
      </c>
      <c r="Z14" s="27">
        <v>-40</v>
      </c>
      <c r="AA14" s="27"/>
      <c r="AB14" s="27"/>
      <c r="AC14" s="32"/>
    </row>
    <row r="15" spans="1:29" x14ac:dyDescent="0.35">
      <c r="A15" t="s">
        <v>90</v>
      </c>
      <c r="B15">
        <v>19</v>
      </c>
      <c r="C15" t="s">
        <v>91</v>
      </c>
      <c r="E15">
        <v>1</v>
      </c>
      <c r="F15" t="s">
        <v>97</v>
      </c>
      <c r="G15" s="31">
        <v>45397</v>
      </c>
      <c r="H15" t="s">
        <v>93</v>
      </c>
      <c r="I15" t="s">
        <v>98</v>
      </c>
      <c r="S15" s="27">
        <v>6.3</v>
      </c>
      <c r="T15" s="27">
        <v>6.6</v>
      </c>
      <c r="U15" s="27">
        <v>6.3</v>
      </c>
      <c r="V15" s="27">
        <v>6.6</v>
      </c>
      <c r="W15" s="27">
        <v>27.64</v>
      </c>
      <c r="X15" t="s">
        <v>95</v>
      </c>
      <c r="Y15" s="32">
        <f t="shared" si="0"/>
        <v>4.7619047619047596E-2</v>
      </c>
      <c r="Z15" s="27">
        <v>20</v>
      </c>
      <c r="AA15" s="27">
        <v>30</v>
      </c>
      <c r="AB15" s="27"/>
      <c r="AC15" s="32"/>
    </row>
    <row r="16" spans="1:29" x14ac:dyDescent="0.35">
      <c r="A16" t="s">
        <v>96</v>
      </c>
      <c r="B16">
        <v>14</v>
      </c>
      <c r="C16" t="s">
        <v>91</v>
      </c>
      <c r="E16">
        <v>1</v>
      </c>
      <c r="F16" t="s">
        <v>97</v>
      </c>
      <c r="G16" s="31">
        <v>45397</v>
      </c>
      <c r="S16" s="27">
        <v>7.8</v>
      </c>
      <c r="T16" s="27">
        <v>7.4</v>
      </c>
      <c r="U16" s="27">
        <v>7.8</v>
      </c>
      <c r="V16" s="27">
        <v>7.4</v>
      </c>
      <c r="W16" s="27">
        <v>-42.36</v>
      </c>
      <c r="X16" t="s">
        <v>95</v>
      </c>
      <c r="Y16" s="32">
        <f t="shared" si="0"/>
        <v>-5.1282051282051218E-2</v>
      </c>
      <c r="Z16" s="27">
        <v>-40</v>
      </c>
      <c r="AA16" s="27"/>
      <c r="AB16" s="27"/>
      <c r="AC16" s="32"/>
    </row>
    <row r="17" spans="1:29" x14ac:dyDescent="0.35">
      <c r="A17" t="s">
        <v>90</v>
      </c>
      <c r="B17">
        <v>1</v>
      </c>
      <c r="C17" t="s">
        <v>27</v>
      </c>
      <c r="E17">
        <v>25</v>
      </c>
      <c r="F17" t="s">
        <v>99</v>
      </c>
      <c r="G17" s="31">
        <v>45352</v>
      </c>
      <c r="S17" s="27">
        <v>58.599899999999998</v>
      </c>
      <c r="T17" s="27">
        <v>78.010000000000005</v>
      </c>
      <c r="U17" s="27">
        <v>58.599899999999998</v>
      </c>
      <c r="V17" s="27">
        <v>78.010000000000005</v>
      </c>
      <c r="W17" s="27">
        <v>485.25</v>
      </c>
      <c r="X17" t="s">
        <v>100</v>
      </c>
      <c r="Y17" s="32">
        <f t="shared" si="0"/>
        <v>0.33123094066713438</v>
      </c>
      <c r="Z17" s="27">
        <v>-58.247500000000002</v>
      </c>
      <c r="AA17" s="27">
        <v>603.75300000000004</v>
      </c>
      <c r="AB17" s="27">
        <v>674</v>
      </c>
      <c r="AC17" s="32">
        <v>4.6010000000000001E-9</v>
      </c>
    </row>
    <row r="18" spans="1:29" x14ac:dyDescent="0.35">
      <c r="A18" t="s">
        <v>90</v>
      </c>
      <c r="B18">
        <v>5</v>
      </c>
      <c r="C18" t="s">
        <v>27</v>
      </c>
      <c r="E18">
        <v>25</v>
      </c>
      <c r="F18" t="s">
        <v>99</v>
      </c>
      <c r="G18" s="31">
        <v>45352</v>
      </c>
      <c r="S18" s="27">
        <v>58.599899999999998</v>
      </c>
      <c r="T18" s="27">
        <v>78.010000000000005</v>
      </c>
      <c r="U18" s="27">
        <v>58.599899999999998</v>
      </c>
      <c r="V18" s="27">
        <v>78.010000000000005</v>
      </c>
      <c r="W18" s="27">
        <v>485.25</v>
      </c>
      <c r="X18" t="s">
        <v>100</v>
      </c>
      <c r="Y18" s="32">
        <f t="shared" si="0"/>
        <v>0.33123094066713438</v>
      </c>
      <c r="Z18" s="27">
        <v>-58.247500000000002</v>
      </c>
      <c r="AA18" s="27">
        <v>603.75300000000004</v>
      </c>
      <c r="AB18" s="27">
        <v>674</v>
      </c>
      <c r="AC18" s="32">
        <v>4.601E-7</v>
      </c>
    </row>
    <row r="19" spans="1:29" x14ac:dyDescent="0.35">
      <c r="A19" t="s">
        <v>90</v>
      </c>
      <c r="B19">
        <v>9</v>
      </c>
      <c r="C19" t="s">
        <v>27</v>
      </c>
      <c r="E19">
        <v>25</v>
      </c>
      <c r="F19" t="s">
        <v>99</v>
      </c>
      <c r="G19" s="31">
        <v>45352</v>
      </c>
      <c r="S19" s="27">
        <v>58.599899999999998</v>
      </c>
      <c r="T19" s="27">
        <v>78.010000000000005</v>
      </c>
      <c r="U19" s="27">
        <v>58.599899999999998</v>
      </c>
      <c r="V19" s="27">
        <v>78.010000000000005</v>
      </c>
      <c r="W19" s="27">
        <v>485.25</v>
      </c>
      <c r="X19" t="s">
        <v>100</v>
      </c>
      <c r="Y19" s="32">
        <f t="shared" si="0"/>
        <v>0.33123094066713438</v>
      </c>
      <c r="Z19" s="27">
        <v>-58.247500000000002</v>
      </c>
      <c r="AA19" s="27">
        <v>603.75300000000004</v>
      </c>
      <c r="AB19" s="27">
        <v>674</v>
      </c>
      <c r="AC19" s="32">
        <v>4.6010000000000002E-5</v>
      </c>
    </row>
    <row r="20" spans="1:29" x14ac:dyDescent="0.35">
      <c r="A20" t="s">
        <v>90</v>
      </c>
      <c r="B20">
        <v>13</v>
      </c>
      <c r="C20" t="s">
        <v>27</v>
      </c>
      <c r="E20">
        <v>25</v>
      </c>
      <c r="F20" t="s">
        <v>99</v>
      </c>
      <c r="G20" s="31">
        <v>45352</v>
      </c>
      <c r="S20" s="27">
        <v>58.599899999999998</v>
      </c>
      <c r="T20" s="27">
        <v>78.010000000000005</v>
      </c>
      <c r="U20" s="27">
        <v>58.599899999999998</v>
      </c>
      <c r="V20" s="27">
        <v>78.010000000000005</v>
      </c>
      <c r="W20" s="27">
        <v>485.25</v>
      </c>
      <c r="X20" t="s">
        <v>100</v>
      </c>
      <c r="Y20" s="32">
        <f t="shared" si="0"/>
        <v>0.33123094066713438</v>
      </c>
      <c r="Z20" s="27">
        <v>-58.247500000000002</v>
      </c>
      <c r="AA20" s="27">
        <v>603.75300000000004</v>
      </c>
      <c r="AB20" s="27">
        <v>674</v>
      </c>
      <c r="AC20" s="32">
        <v>4.6010000000000001E-3</v>
      </c>
    </row>
    <row r="21" spans="1:29" x14ac:dyDescent="0.35">
      <c r="A21" t="s">
        <v>90</v>
      </c>
      <c r="B21">
        <v>17</v>
      </c>
      <c r="C21" t="s">
        <v>27</v>
      </c>
      <c r="E21">
        <v>25</v>
      </c>
      <c r="F21" t="s">
        <v>99</v>
      </c>
      <c r="G21" s="31">
        <v>45352</v>
      </c>
      <c r="S21" s="27">
        <v>58.599899999999998</v>
      </c>
      <c r="T21" s="27">
        <v>78.010000000000005</v>
      </c>
      <c r="U21" s="27">
        <v>58.599899999999998</v>
      </c>
      <c r="V21" s="27">
        <v>78.010000000000005</v>
      </c>
      <c r="W21" s="27">
        <v>485.25</v>
      </c>
      <c r="X21" t="s">
        <v>100</v>
      </c>
      <c r="Y21" s="32">
        <f t="shared" si="0"/>
        <v>0.33123094066713438</v>
      </c>
      <c r="Z21" s="27">
        <v>-58.247500000000002</v>
      </c>
      <c r="AA21" s="27">
        <v>603.75300000000004</v>
      </c>
      <c r="AB21" s="27">
        <v>674</v>
      </c>
      <c r="AC21" s="32">
        <v>0.46010000000000001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5"/>
  <sheetViews>
    <sheetView tabSelected="1" workbookViewId="0">
      <selection activeCell="N14" sqref="N14"/>
    </sheetView>
  </sheetViews>
  <sheetFormatPr defaultRowHeight="14.5" x14ac:dyDescent="0.35"/>
  <cols>
    <col min="14" max="14" width="10.453125" customWidth="1"/>
  </cols>
  <sheetData>
    <row r="1" spans="1:17" x14ac:dyDescent="0.35">
      <c r="A1" s="29" t="s">
        <v>63</v>
      </c>
      <c r="B1" s="29" t="s">
        <v>3</v>
      </c>
      <c r="C1" s="29" t="s">
        <v>67</v>
      </c>
      <c r="D1" s="29" t="s">
        <v>79</v>
      </c>
      <c r="E1" s="29" t="s">
        <v>80</v>
      </c>
      <c r="F1" s="29" t="s">
        <v>81</v>
      </c>
      <c r="G1" s="29" t="s">
        <v>82</v>
      </c>
      <c r="H1" s="29" t="s">
        <v>83</v>
      </c>
      <c r="I1" s="29" t="s">
        <v>64</v>
      </c>
      <c r="J1" s="29" t="s">
        <v>51</v>
      </c>
      <c r="K1" s="29" t="s">
        <v>60</v>
      </c>
      <c r="L1" s="29" t="s">
        <v>61</v>
      </c>
      <c r="M1" s="29" t="s">
        <v>101</v>
      </c>
      <c r="N1" s="29" t="s">
        <v>102</v>
      </c>
      <c r="O1" s="30" t="s">
        <v>103</v>
      </c>
      <c r="P1" s="29" t="s">
        <v>104</v>
      </c>
      <c r="Q1" s="29" t="s">
        <v>105</v>
      </c>
    </row>
    <row r="2" spans="1:17" x14ac:dyDescent="0.35">
      <c r="A2">
        <v>1</v>
      </c>
      <c r="B2" t="s">
        <v>27</v>
      </c>
      <c r="C2" t="s">
        <v>106</v>
      </c>
      <c r="D2" s="27">
        <v>58.599899999999998</v>
      </c>
      <c r="E2" s="27">
        <v>78.010000000000005</v>
      </c>
      <c r="F2" s="27">
        <v>58.599899999999998</v>
      </c>
      <c r="G2" s="27">
        <v>78.010000000000005</v>
      </c>
      <c r="H2" s="27">
        <v>485.25</v>
      </c>
      <c r="I2" t="s">
        <v>90</v>
      </c>
    </row>
    <row r="3" spans="1:17" x14ac:dyDescent="0.35">
      <c r="A3">
        <v>2</v>
      </c>
      <c r="B3" t="s">
        <v>91</v>
      </c>
      <c r="C3" t="s">
        <v>97</v>
      </c>
      <c r="D3" s="27">
        <v>7.8</v>
      </c>
      <c r="E3" s="27">
        <v>7.4</v>
      </c>
      <c r="F3" s="27">
        <v>7.8</v>
      </c>
      <c r="G3" s="27">
        <v>7.4</v>
      </c>
      <c r="H3" s="27">
        <v>-42.36</v>
      </c>
      <c r="I3" t="s">
        <v>96</v>
      </c>
    </row>
    <row r="4" spans="1:17" x14ac:dyDescent="0.35">
      <c r="A4">
        <v>3</v>
      </c>
      <c r="B4" t="s">
        <v>91</v>
      </c>
      <c r="C4" t="s">
        <v>97</v>
      </c>
      <c r="D4" s="27">
        <v>6.3</v>
      </c>
      <c r="E4" s="27">
        <v>6.6</v>
      </c>
      <c r="F4" s="27">
        <v>6.3</v>
      </c>
      <c r="G4" s="27">
        <v>6.6</v>
      </c>
      <c r="H4" s="27">
        <v>27.64</v>
      </c>
      <c r="I4" t="s">
        <v>90</v>
      </c>
      <c r="J4" t="s">
        <v>93</v>
      </c>
    </row>
    <row r="5" spans="1:17" x14ac:dyDescent="0.35">
      <c r="A5">
        <v>4</v>
      </c>
      <c r="B5" t="s">
        <v>91</v>
      </c>
      <c r="C5" t="s">
        <v>92</v>
      </c>
      <c r="D5" s="27">
        <v>5.8</v>
      </c>
      <c r="E5" s="27">
        <v>6</v>
      </c>
      <c r="F5" s="27">
        <v>5.8</v>
      </c>
      <c r="G5" s="27">
        <v>6</v>
      </c>
      <c r="H5" s="27">
        <v>17.64</v>
      </c>
      <c r="I5" t="s">
        <v>90</v>
      </c>
      <c r="J5" t="s">
        <v>93</v>
      </c>
      <c r="M5" t="s">
        <v>94</v>
      </c>
    </row>
    <row r="6" spans="1:17" x14ac:dyDescent="0.35">
      <c r="A6">
        <v>5</v>
      </c>
      <c r="B6" t="s">
        <v>27</v>
      </c>
      <c r="C6" t="s">
        <v>106</v>
      </c>
      <c r="D6" s="27">
        <v>58.599899999999998</v>
      </c>
      <c r="E6" s="27">
        <v>78.010000000000005</v>
      </c>
      <c r="F6" s="27">
        <v>58.599899999999998</v>
      </c>
      <c r="G6" s="27">
        <v>78.010000000000005</v>
      </c>
      <c r="H6" s="27">
        <v>485.25</v>
      </c>
      <c r="I6" t="s">
        <v>90</v>
      </c>
    </row>
    <row r="7" spans="1:17" x14ac:dyDescent="0.35">
      <c r="A7">
        <v>6</v>
      </c>
      <c r="B7" t="s">
        <v>91</v>
      </c>
      <c r="C7" t="s">
        <v>97</v>
      </c>
      <c r="D7" s="27">
        <v>7.8</v>
      </c>
      <c r="E7" s="27">
        <v>7.4</v>
      </c>
      <c r="F7" s="27">
        <v>7.8</v>
      </c>
      <c r="G7" s="27">
        <v>7.4</v>
      </c>
      <c r="H7" s="27">
        <v>-42.36</v>
      </c>
      <c r="I7" t="s">
        <v>96</v>
      </c>
    </row>
    <row r="8" spans="1:17" x14ac:dyDescent="0.35">
      <c r="A8">
        <v>7</v>
      </c>
      <c r="B8" t="s">
        <v>91</v>
      </c>
      <c r="C8" t="s">
        <v>97</v>
      </c>
      <c r="D8" s="27">
        <v>6.3</v>
      </c>
      <c r="E8" s="27">
        <v>6.6</v>
      </c>
      <c r="F8" s="27">
        <v>6.3</v>
      </c>
      <c r="G8" s="27">
        <v>6.6</v>
      </c>
      <c r="H8" s="27">
        <v>27.64</v>
      </c>
      <c r="I8" t="s">
        <v>90</v>
      </c>
      <c r="J8" t="s">
        <v>93</v>
      </c>
    </row>
    <row r="9" spans="1:17" x14ac:dyDescent="0.35">
      <c r="A9">
        <v>8</v>
      </c>
      <c r="B9" t="s">
        <v>91</v>
      </c>
      <c r="C9" t="s">
        <v>92</v>
      </c>
      <c r="D9" s="27">
        <v>5.8</v>
      </c>
      <c r="E9" s="27">
        <v>6</v>
      </c>
      <c r="F9" s="27">
        <v>5.8</v>
      </c>
      <c r="G9" s="27">
        <v>6</v>
      </c>
      <c r="H9" s="27">
        <v>17.64</v>
      </c>
      <c r="I9" t="s">
        <v>90</v>
      </c>
      <c r="J9" t="s">
        <v>93</v>
      </c>
      <c r="M9" t="s">
        <v>94</v>
      </c>
    </row>
    <row r="10" spans="1:17" x14ac:dyDescent="0.35">
      <c r="A10">
        <v>9</v>
      </c>
      <c r="B10" t="s">
        <v>27</v>
      </c>
      <c r="C10" t="s">
        <v>106</v>
      </c>
      <c r="D10" s="27">
        <v>58.599899999999998</v>
      </c>
      <c r="E10" s="27">
        <v>78.010000000000005</v>
      </c>
      <c r="F10" s="27">
        <v>58.599899999999998</v>
      </c>
      <c r="G10" s="27">
        <v>78.010000000000005</v>
      </c>
      <c r="H10" s="27">
        <v>485.25</v>
      </c>
      <c r="I10" t="s">
        <v>90</v>
      </c>
    </row>
    <row r="11" spans="1:17" x14ac:dyDescent="0.35">
      <c r="A11">
        <v>10</v>
      </c>
      <c r="B11" t="s">
        <v>91</v>
      </c>
      <c r="C11" t="s">
        <v>97</v>
      </c>
      <c r="D11" s="27">
        <v>7.8</v>
      </c>
      <c r="E11" s="27">
        <v>7.4</v>
      </c>
      <c r="F11" s="27">
        <v>7.8</v>
      </c>
      <c r="G11" s="27">
        <v>7.4</v>
      </c>
      <c r="H11" s="27">
        <v>-42.36</v>
      </c>
      <c r="I11" t="s">
        <v>96</v>
      </c>
    </row>
    <row r="12" spans="1:17" x14ac:dyDescent="0.35">
      <c r="A12">
        <v>17</v>
      </c>
      <c r="B12" t="s">
        <v>27</v>
      </c>
      <c r="C12" t="s">
        <v>106</v>
      </c>
      <c r="D12" s="27">
        <v>58.599899999999998</v>
      </c>
      <c r="E12" s="27">
        <v>78.010000000000005</v>
      </c>
      <c r="F12" s="27">
        <v>58.599899999999998</v>
      </c>
      <c r="G12" s="27">
        <v>78.010000000000005</v>
      </c>
      <c r="H12" s="27">
        <v>485.25</v>
      </c>
      <c r="I12" t="s">
        <v>90</v>
      </c>
    </row>
    <row r="13" spans="1:17" x14ac:dyDescent="0.35">
      <c r="A13">
        <v>18</v>
      </c>
      <c r="B13" t="s">
        <v>91</v>
      </c>
      <c r="C13" t="s">
        <v>97</v>
      </c>
      <c r="D13" s="27">
        <v>7.8</v>
      </c>
      <c r="E13" s="27">
        <v>7.4</v>
      </c>
      <c r="F13" s="27">
        <v>7.8</v>
      </c>
      <c r="G13" s="27">
        <v>7.4</v>
      </c>
      <c r="H13" s="27">
        <v>-42.36</v>
      </c>
      <c r="I13" t="s">
        <v>96</v>
      </c>
    </row>
    <row r="14" spans="1:17" x14ac:dyDescent="0.35">
      <c r="A14">
        <v>19</v>
      </c>
      <c r="B14" t="s">
        <v>91</v>
      </c>
      <c r="C14" t="s">
        <v>97</v>
      </c>
      <c r="D14" s="27">
        <v>6.3</v>
      </c>
      <c r="E14" s="27">
        <v>6.6</v>
      </c>
      <c r="F14" s="27">
        <v>6.3</v>
      </c>
      <c r="G14" s="27">
        <v>6.6</v>
      </c>
      <c r="H14" s="27">
        <v>27.64</v>
      </c>
      <c r="I14" t="s">
        <v>90</v>
      </c>
      <c r="J14" t="s">
        <v>93</v>
      </c>
      <c r="N14" s="31">
        <v>45397</v>
      </c>
    </row>
    <row r="15" spans="1:17" x14ac:dyDescent="0.35">
      <c r="A15">
        <v>20</v>
      </c>
      <c r="B15" t="s">
        <v>91</v>
      </c>
      <c r="C15" t="s">
        <v>92</v>
      </c>
      <c r="D15" s="27">
        <v>5.8</v>
      </c>
      <c r="E15" s="27">
        <v>6</v>
      </c>
      <c r="F15" s="27">
        <v>5.8</v>
      </c>
      <c r="G15" s="27">
        <v>6</v>
      </c>
      <c r="H15" s="27">
        <v>17.64</v>
      </c>
      <c r="I15" t="s">
        <v>90</v>
      </c>
      <c r="J15" t="s">
        <v>93</v>
      </c>
      <c r="M15" t="s">
        <v>94</v>
      </c>
      <c r="N15" s="31">
        <v>45401</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K34" sqref="K34"/>
    </sheetView>
  </sheetViews>
  <sheetFormatPr defaultRowHeight="14.5" x14ac:dyDescent="0.35"/>
  <cols>
    <col min="1" max="4" width="8.7265625" style="14" customWidth="1"/>
  </cols>
  <sheetData>
    <row r="1" spans="1:6" x14ac:dyDescent="0.35">
      <c r="A1" s="14" t="s">
        <v>51</v>
      </c>
      <c r="B1" s="14" t="s">
        <v>107</v>
      </c>
      <c r="C1" s="14" t="s">
        <v>108</v>
      </c>
      <c r="D1" s="14" t="s">
        <v>109</v>
      </c>
      <c r="E1" t="s">
        <v>110</v>
      </c>
      <c r="F1" t="s">
        <v>111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12"/>
  <sheetViews>
    <sheetView workbookViewId="0">
      <selection activeCell="M5" sqref="M5"/>
    </sheetView>
  </sheetViews>
  <sheetFormatPr defaultRowHeight="14.5" x14ac:dyDescent="0.35"/>
  <cols>
    <col min="1" max="1" width="18.90625" customWidth="1"/>
  </cols>
  <sheetData>
    <row r="1" spans="1:12" x14ac:dyDescent="0.35">
      <c r="A1" s="1" t="s">
        <v>112</v>
      </c>
      <c r="B1" s="1" t="s">
        <v>11</v>
      </c>
      <c r="C1" s="1" t="s">
        <v>12</v>
      </c>
      <c r="D1" s="1" t="s">
        <v>113</v>
      </c>
      <c r="E1" s="1" t="s">
        <v>60</v>
      </c>
      <c r="F1" s="1" t="s">
        <v>50</v>
      </c>
      <c r="G1" s="1" t="s">
        <v>51</v>
      </c>
      <c r="H1" s="1" t="s">
        <v>55</v>
      </c>
      <c r="I1" s="1" t="s">
        <v>61</v>
      </c>
      <c r="J1" s="1" t="s">
        <v>62</v>
      </c>
      <c r="K1" s="1" t="s">
        <v>101</v>
      </c>
      <c r="L1" s="33" t="s">
        <v>102</v>
      </c>
    </row>
    <row r="2" spans="1:12" x14ac:dyDescent="0.35">
      <c r="A2" t="s">
        <v>17</v>
      </c>
      <c r="B2" t="s">
        <v>36</v>
      </c>
      <c r="C2" t="s">
        <v>114</v>
      </c>
      <c r="D2" t="s">
        <v>115</v>
      </c>
      <c r="E2" t="s">
        <v>116</v>
      </c>
      <c r="F2" t="s">
        <v>117</v>
      </c>
      <c r="G2" t="s">
        <v>93</v>
      </c>
      <c r="H2" t="s">
        <v>118</v>
      </c>
      <c r="I2" t="s">
        <v>119</v>
      </c>
      <c r="J2" t="s">
        <v>120</v>
      </c>
      <c r="K2" t="s">
        <v>121</v>
      </c>
      <c r="L2" t="s">
        <v>122</v>
      </c>
    </row>
    <row r="3" spans="1:12" x14ac:dyDescent="0.35">
      <c r="A3" t="s">
        <v>23</v>
      </c>
      <c r="B3" t="s">
        <v>18</v>
      </c>
      <c r="C3" t="s">
        <v>123</v>
      </c>
      <c r="D3" t="s">
        <v>124</v>
      </c>
      <c r="E3" t="s">
        <v>125</v>
      </c>
      <c r="F3" t="s">
        <v>126</v>
      </c>
      <c r="G3" t="s">
        <v>127</v>
      </c>
      <c r="H3" t="s">
        <v>128</v>
      </c>
      <c r="I3" t="s">
        <v>129</v>
      </c>
      <c r="J3" t="s">
        <v>130</v>
      </c>
      <c r="K3" t="s">
        <v>94</v>
      </c>
      <c r="L3" t="s">
        <v>131</v>
      </c>
    </row>
    <row r="4" spans="1:12" x14ac:dyDescent="0.35">
      <c r="C4" t="s">
        <v>132</v>
      </c>
      <c r="D4" t="s">
        <v>133</v>
      </c>
      <c r="E4" t="s">
        <v>134</v>
      </c>
      <c r="G4" t="s">
        <v>135</v>
      </c>
      <c r="I4" t="s">
        <v>136</v>
      </c>
      <c r="J4" t="s">
        <v>137</v>
      </c>
      <c r="K4" t="s">
        <v>138</v>
      </c>
      <c r="L4" t="s">
        <v>131</v>
      </c>
    </row>
    <row r="5" spans="1:12" x14ac:dyDescent="0.35">
      <c r="C5" t="s">
        <v>19</v>
      </c>
      <c r="D5" t="s">
        <v>139</v>
      </c>
      <c r="E5" t="s">
        <v>140</v>
      </c>
      <c r="G5" t="s">
        <v>141</v>
      </c>
      <c r="L5" t="s">
        <v>122</v>
      </c>
    </row>
    <row r="6" spans="1:12" x14ac:dyDescent="0.35">
      <c r="C6" t="s">
        <v>142</v>
      </c>
      <c r="E6" t="s">
        <v>143</v>
      </c>
      <c r="G6" t="s">
        <v>144</v>
      </c>
      <c r="L6" t="s">
        <v>122</v>
      </c>
    </row>
    <row r="7" spans="1:12" x14ac:dyDescent="0.35">
      <c r="C7" t="s">
        <v>31</v>
      </c>
      <c r="E7" t="s">
        <v>145</v>
      </c>
      <c r="G7" t="s">
        <v>146</v>
      </c>
      <c r="L7" t="s">
        <v>147</v>
      </c>
    </row>
    <row r="8" spans="1:12" x14ac:dyDescent="0.35">
      <c r="C8" t="s">
        <v>148</v>
      </c>
      <c r="G8" t="s">
        <v>149</v>
      </c>
      <c r="L8" t="s">
        <v>147</v>
      </c>
    </row>
    <row r="9" spans="1:12" x14ac:dyDescent="0.35">
      <c r="C9" t="s">
        <v>150</v>
      </c>
      <c r="G9" t="s">
        <v>151</v>
      </c>
      <c r="L9" t="s">
        <v>147</v>
      </c>
    </row>
    <row r="10" spans="1:12" x14ac:dyDescent="0.35">
      <c r="C10" t="s">
        <v>37</v>
      </c>
      <c r="G10" t="s">
        <v>152</v>
      </c>
      <c r="L10" t="s">
        <v>122</v>
      </c>
    </row>
    <row r="11" spans="1:12" x14ac:dyDescent="0.35">
      <c r="C11" t="s">
        <v>153</v>
      </c>
      <c r="G11" t="s">
        <v>154</v>
      </c>
      <c r="L11" t="s">
        <v>147</v>
      </c>
    </row>
    <row r="12" spans="1:12" x14ac:dyDescent="0.35">
      <c r="C12"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92D050"/>
  </sheetPr>
  <dimension ref="A1:L16"/>
  <sheetViews>
    <sheetView workbookViewId="0">
      <selection activeCell="O40" sqref="O40"/>
    </sheetView>
  </sheetViews>
  <sheetFormatPr defaultRowHeight="14.5" x14ac:dyDescent="0.35"/>
  <cols>
    <col min="1" max="1" width="18.90625" customWidth="1"/>
  </cols>
  <sheetData>
    <row r="1" spans="1:12" x14ac:dyDescent="0.35">
      <c r="A1" s="1" t="s">
        <v>155</v>
      </c>
    </row>
    <row r="2" spans="1:12" x14ac:dyDescent="0.35">
      <c r="A2" t="s">
        <v>112</v>
      </c>
      <c r="B2" t="s">
        <v>17</v>
      </c>
      <c r="C2" t="s">
        <v>23</v>
      </c>
    </row>
    <row r="3" spans="1:12" x14ac:dyDescent="0.35">
      <c r="A3" t="s">
        <v>11</v>
      </c>
      <c r="B3" t="s">
        <v>36</v>
      </c>
      <c r="C3" t="s">
        <v>18</v>
      </c>
    </row>
    <row r="4" spans="1:12" x14ac:dyDescent="0.35">
      <c r="A4" t="s">
        <v>12</v>
      </c>
      <c r="B4" t="s">
        <v>114</v>
      </c>
      <c r="C4" t="s">
        <v>123</v>
      </c>
      <c r="D4" t="s">
        <v>132</v>
      </c>
      <c r="E4" t="s">
        <v>19</v>
      </c>
      <c r="F4" t="s">
        <v>142</v>
      </c>
      <c r="G4" t="s">
        <v>31</v>
      </c>
      <c r="H4" t="s">
        <v>148</v>
      </c>
      <c r="I4" t="s">
        <v>150</v>
      </c>
      <c r="J4" t="s">
        <v>37</v>
      </c>
      <c r="K4" t="s">
        <v>153</v>
      </c>
      <c r="L4" t="s">
        <v>33</v>
      </c>
    </row>
    <row r="5" spans="1:12" x14ac:dyDescent="0.35">
      <c r="A5" t="s">
        <v>113</v>
      </c>
      <c r="B5" t="s">
        <v>115</v>
      </c>
      <c r="C5" t="s">
        <v>124</v>
      </c>
      <c r="D5" t="s">
        <v>133</v>
      </c>
      <c r="E5" t="s">
        <v>139</v>
      </c>
    </row>
    <row r="7" spans="1:12" x14ac:dyDescent="0.35">
      <c r="A7" s="1" t="s">
        <v>145</v>
      </c>
    </row>
    <row r="8" spans="1:12" x14ac:dyDescent="0.35">
      <c r="A8" t="s">
        <v>60</v>
      </c>
      <c r="B8" t="s">
        <v>116</v>
      </c>
      <c r="C8" t="s">
        <v>125</v>
      </c>
      <c r="D8" t="s">
        <v>134</v>
      </c>
      <c r="E8" t="s">
        <v>140</v>
      </c>
      <c r="F8" t="s">
        <v>143</v>
      </c>
      <c r="G8" t="s">
        <v>145</v>
      </c>
    </row>
    <row r="9" spans="1:12" x14ac:dyDescent="0.35">
      <c r="A9" t="s">
        <v>50</v>
      </c>
      <c r="B9" t="s">
        <v>117</v>
      </c>
      <c r="C9" t="s">
        <v>126</v>
      </c>
    </row>
    <row r="10" spans="1:12" x14ac:dyDescent="0.35">
      <c r="A10" t="s">
        <v>51</v>
      </c>
      <c r="B10" t="s">
        <v>93</v>
      </c>
      <c r="C10" t="s">
        <v>127</v>
      </c>
      <c r="D10" t="s">
        <v>135</v>
      </c>
      <c r="E10" t="s">
        <v>141</v>
      </c>
      <c r="F10" t="s">
        <v>144</v>
      </c>
      <c r="G10" t="s">
        <v>146</v>
      </c>
      <c r="H10" t="s">
        <v>149</v>
      </c>
      <c r="I10" t="s">
        <v>151</v>
      </c>
      <c r="J10" t="s">
        <v>152</v>
      </c>
      <c r="K10" t="s">
        <v>154</v>
      </c>
    </row>
    <row r="11" spans="1:12" x14ac:dyDescent="0.35">
      <c r="A11" t="s">
        <v>55</v>
      </c>
      <c r="B11" t="s">
        <v>118</v>
      </c>
      <c r="C11" t="s">
        <v>128</v>
      </c>
    </row>
    <row r="12" spans="1:12" x14ac:dyDescent="0.35">
      <c r="A12" t="s">
        <v>61</v>
      </c>
      <c r="B12" t="s">
        <v>119</v>
      </c>
      <c r="C12" t="s">
        <v>129</v>
      </c>
      <c r="D12" t="s">
        <v>136</v>
      </c>
    </row>
    <row r="13" spans="1:12" x14ac:dyDescent="0.35">
      <c r="A13" t="s">
        <v>62</v>
      </c>
      <c r="B13" t="s">
        <v>120</v>
      </c>
      <c r="C13" t="s">
        <v>130</v>
      </c>
      <c r="D13" t="s">
        <v>137</v>
      </c>
    </row>
    <row r="15" spans="1:12" x14ac:dyDescent="0.35">
      <c r="A15" s="1" t="s">
        <v>156</v>
      </c>
    </row>
    <row r="16" spans="1:12" x14ac:dyDescent="0.35">
      <c r="A16" t="s">
        <v>60</v>
      </c>
      <c r="B16" t="s">
        <v>116</v>
      </c>
      <c r="C16" t="s">
        <v>125</v>
      </c>
      <c r="D16" t="s">
        <v>134</v>
      </c>
      <c r="E16" t="s">
        <v>140</v>
      </c>
      <c r="F16" t="s">
        <v>143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P10"/>
  <sheetViews>
    <sheetView workbookViewId="0">
      <selection activeCell="K1" sqref="K1"/>
    </sheetView>
  </sheetViews>
  <sheetFormatPr defaultRowHeight="14.5" x14ac:dyDescent="0.35"/>
  <cols>
    <col min="20" max="20" width="10.54296875" customWidth="1"/>
    <col min="26" max="26" width="9.54296875" customWidth="1"/>
  </cols>
  <sheetData>
    <row r="1" spans="1:42" x14ac:dyDescent="0.35">
      <c r="A1" t="s">
        <v>64</v>
      </c>
      <c r="B1" t="s">
        <v>3</v>
      </c>
      <c r="C1" t="s">
        <v>65</v>
      </c>
      <c r="D1" t="s">
        <v>66</v>
      </c>
      <c r="E1" t="s">
        <v>67</v>
      </c>
      <c r="F1" t="s">
        <v>157</v>
      </c>
      <c r="G1" t="s">
        <v>158</v>
      </c>
      <c r="H1" t="s">
        <v>159</v>
      </c>
      <c r="I1" t="s">
        <v>160</v>
      </c>
      <c r="J1" t="s">
        <v>79</v>
      </c>
      <c r="K1" t="s">
        <v>80</v>
      </c>
      <c r="L1" t="s">
        <v>161</v>
      </c>
      <c r="M1" t="s">
        <v>162</v>
      </c>
      <c r="N1" t="s">
        <v>81</v>
      </c>
      <c r="O1" t="s">
        <v>82</v>
      </c>
      <c r="P1" t="s">
        <v>83</v>
      </c>
      <c r="Q1" t="s">
        <v>163</v>
      </c>
      <c r="R1" t="s">
        <v>59</v>
      </c>
      <c r="S1" t="s">
        <v>164</v>
      </c>
      <c r="T1" t="s">
        <v>165</v>
      </c>
      <c r="U1" t="s">
        <v>84</v>
      </c>
      <c r="V1" t="s">
        <v>166</v>
      </c>
      <c r="W1" t="s">
        <v>167</v>
      </c>
      <c r="X1" t="s">
        <v>168</v>
      </c>
      <c r="Y1" t="s">
        <v>169</v>
      </c>
      <c r="Z1" t="s">
        <v>170</v>
      </c>
      <c r="AA1" t="s">
        <v>171</v>
      </c>
      <c r="AB1" t="s">
        <v>172</v>
      </c>
      <c r="AC1" t="s">
        <v>173</v>
      </c>
      <c r="AD1" t="s">
        <v>174</v>
      </c>
      <c r="AE1" t="s">
        <v>175</v>
      </c>
      <c r="AF1" t="s">
        <v>176</v>
      </c>
      <c r="AG1" t="s">
        <v>177</v>
      </c>
      <c r="AH1" t="s">
        <v>178</v>
      </c>
      <c r="AI1" t="s">
        <v>179</v>
      </c>
      <c r="AJ1" t="s">
        <v>180</v>
      </c>
      <c r="AK1" t="s">
        <v>86</v>
      </c>
      <c r="AL1" t="s">
        <v>87</v>
      </c>
      <c r="AM1" t="s">
        <v>181</v>
      </c>
      <c r="AN1" t="s">
        <v>182</v>
      </c>
      <c r="AO1" t="s">
        <v>88</v>
      </c>
      <c r="AP1" t="s">
        <v>89</v>
      </c>
    </row>
    <row r="2" spans="1:42" x14ac:dyDescent="0.35">
      <c r="A2" t="s">
        <v>90</v>
      </c>
      <c r="B2" t="s">
        <v>27</v>
      </c>
      <c r="C2">
        <v>25</v>
      </c>
      <c r="D2" t="s">
        <v>99</v>
      </c>
      <c r="E2" t="s">
        <v>106</v>
      </c>
      <c r="F2" t="s">
        <v>183</v>
      </c>
      <c r="G2" t="s">
        <v>184</v>
      </c>
      <c r="J2" s="27">
        <v>58.599899999999998</v>
      </c>
      <c r="K2" s="27">
        <v>78.010000000000005</v>
      </c>
      <c r="L2" s="27">
        <v>485.25</v>
      </c>
      <c r="M2" t="s">
        <v>185</v>
      </c>
      <c r="N2" s="27">
        <v>58.599899999999998</v>
      </c>
      <c r="O2" s="27">
        <v>78.010000000000005</v>
      </c>
      <c r="P2" s="27">
        <v>485.25</v>
      </c>
      <c r="Q2" s="27"/>
      <c r="T2" s="27">
        <v>0</v>
      </c>
      <c r="U2" t="s">
        <v>100</v>
      </c>
      <c r="V2" t="s">
        <v>186</v>
      </c>
      <c r="Y2" t="s">
        <v>187</v>
      </c>
      <c r="Z2" s="27">
        <v>1465</v>
      </c>
      <c r="AA2">
        <v>2</v>
      </c>
      <c r="AB2" s="27"/>
      <c r="AD2" t="s">
        <v>188</v>
      </c>
      <c r="AE2" t="s">
        <v>106</v>
      </c>
      <c r="AF2" t="s">
        <v>189</v>
      </c>
      <c r="AH2" t="s">
        <v>190</v>
      </c>
      <c r="AI2" s="27">
        <v>19.41</v>
      </c>
      <c r="AJ2">
        <v>0</v>
      </c>
      <c r="AK2">
        <v>-58.247500000000002</v>
      </c>
      <c r="AL2">
        <v>603.75300000000004</v>
      </c>
      <c r="AO2" s="27">
        <v>674</v>
      </c>
      <c r="AP2">
        <v>46.01</v>
      </c>
    </row>
    <row r="3" spans="1:42" x14ac:dyDescent="0.35">
      <c r="A3" t="s">
        <v>191</v>
      </c>
      <c r="B3" t="s">
        <v>192</v>
      </c>
      <c r="C3">
        <v>9</v>
      </c>
      <c r="D3" t="s">
        <v>193</v>
      </c>
      <c r="E3" t="s">
        <v>193</v>
      </c>
      <c r="F3" t="s">
        <v>194</v>
      </c>
      <c r="G3" t="s">
        <v>194</v>
      </c>
      <c r="J3" s="27">
        <v>175.91</v>
      </c>
      <c r="K3" s="27"/>
      <c r="L3" s="27"/>
      <c r="N3" s="27">
        <v>175.91</v>
      </c>
      <c r="O3" s="27"/>
      <c r="P3" s="27">
        <v>0</v>
      </c>
      <c r="Q3" s="27"/>
      <c r="T3" s="27">
        <v>0</v>
      </c>
      <c r="U3" t="s">
        <v>100</v>
      </c>
      <c r="V3" t="s">
        <v>186</v>
      </c>
      <c r="Y3" t="s">
        <v>187</v>
      </c>
      <c r="Z3" s="27">
        <v>1583.19</v>
      </c>
      <c r="AA3">
        <v>1</v>
      </c>
      <c r="AB3" s="27"/>
      <c r="AD3" t="s">
        <v>195</v>
      </c>
      <c r="AE3" t="s">
        <v>193</v>
      </c>
      <c r="AF3" t="s">
        <v>196</v>
      </c>
      <c r="AG3">
        <v>9</v>
      </c>
      <c r="AH3" t="s">
        <v>190</v>
      </c>
      <c r="AI3" s="27"/>
      <c r="AJ3">
        <v>0</v>
      </c>
      <c r="AO3" s="27"/>
    </row>
    <row r="4" spans="1:42" x14ac:dyDescent="0.35">
      <c r="A4" t="s">
        <v>191</v>
      </c>
      <c r="B4" t="s">
        <v>30</v>
      </c>
      <c r="C4">
        <v>6</v>
      </c>
      <c r="D4" t="s">
        <v>193</v>
      </c>
      <c r="E4" t="s">
        <v>193</v>
      </c>
      <c r="F4" t="s">
        <v>197</v>
      </c>
      <c r="G4" t="s">
        <v>197</v>
      </c>
      <c r="J4" s="27">
        <v>170.19</v>
      </c>
      <c r="K4" s="27"/>
      <c r="L4" s="27"/>
      <c r="N4" s="27">
        <v>170.19</v>
      </c>
      <c r="O4" s="27"/>
      <c r="P4" s="27">
        <v>0</v>
      </c>
      <c r="Q4" s="27"/>
      <c r="T4" s="27">
        <v>0</v>
      </c>
      <c r="U4" t="s">
        <v>100</v>
      </c>
      <c r="V4" t="s">
        <v>186</v>
      </c>
      <c r="Y4" t="s">
        <v>187</v>
      </c>
      <c r="Z4" s="27">
        <v>1021.14</v>
      </c>
      <c r="AA4">
        <v>1</v>
      </c>
      <c r="AB4" s="27"/>
      <c r="AD4" t="s">
        <v>195</v>
      </c>
      <c r="AE4" t="s">
        <v>193</v>
      </c>
      <c r="AF4" t="s">
        <v>196</v>
      </c>
      <c r="AG4">
        <v>6</v>
      </c>
      <c r="AH4" t="s">
        <v>190</v>
      </c>
      <c r="AI4" s="27"/>
      <c r="AJ4">
        <v>0</v>
      </c>
      <c r="AO4" s="27"/>
    </row>
    <row r="5" spans="1:42" x14ac:dyDescent="0.35">
      <c r="A5" t="s">
        <v>191</v>
      </c>
      <c r="B5" t="s">
        <v>198</v>
      </c>
      <c r="C5">
        <v>75</v>
      </c>
      <c r="D5" t="s">
        <v>199</v>
      </c>
      <c r="E5" t="s">
        <v>199</v>
      </c>
      <c r="F5" t="s">
        <v>200</v>
      </c>
      <c r="G5" t="s">
        <v>201</v>
      </c>
      <c r="J5" s="27">
        <v>26.55</v>
      </c>
      <c r="K5" s="27"/>
      <c r="L5" s="27"/>
      <c r="N5" s="27">
        <v>26.54</v>
      </c>
      <c r="O5" s="27"/>
      <c r="P5" s="27">
        <v>0</v>
      </c>
      <c r="Q5" s="27"/>
      <c r="T5" s="27">
        <v>0</v>
      </c>
      <c r="U5" t="s">
        <v>100</v>
      </c>
      <c r="V5" t="s">
        <v>186</v>
      </c>
      <c r="Y5" t="s">
        <v>187</v>
      </c>
      <c r="Z5" s="27">
        <v>1990.5</v>
      </c>
      <c r="AA5">
        <v>2</v>
      </c>
      <c r="AB5" s="27"/>
      <c r="AD5" t="s">
        <v>202</v>
      </c>
      <c r="AE5" t="s">
        <v>199</v>
      </c>
      <c r="AF5" t="s">
        <v>189</v>
      </c>
      <c r="AG5">
        <v>75</v>
      </c>
      <c r="AH5" t="s">
        <v>190</v>
      </c>
      <c r="AI5" s="27"/>
      <c r="AJ5">
        <v>0</v>
      </c>
      <c r="AO5" s="27"/>
    </row>
    <row r="6" spans="1:42" x14ac:dyDescent="0.35">
      <c r="A6" t="s">
        <v>96</v>
      </c>
      <c r="B6" t="s">
        <v>91</v>
      </c>
      <c r="C6">
        <v>1</v>
      </c>
      <c r="D6" t="s">
        <v>97</v>
      </c>
      <c r="E6" t="s">
        <v>97</v>
      </c>
      <c r="F6" t="s">
        <v>203</v>
      </c>
      <c r="G6" t="s">
        <v>204</v>
      </c>
      <c r="J6" s="27">
        <v>7.8</v>
      </c>
      <c r="K6" s="27">
        <v>7.4</v>
      </c>
      <c r="L6" s="27">
        <v>-40</v>
      </c>
      <c r="M6" t="s">
        <v>205</v>
      </c>
      <c r="N6" s="27">
        <v>7.8</v>
      </c>
      <c r="O6" s="27">
        <v>7.4</v>
      </c>
      <c r="P6" s="27">
        <v>-42.36</v>
      </c>
      <c r="Q6" s="27">
        <v>1.3</v>
      </c>
      <c r="S6" t="s">
        <v>206</v>
      </c>
      <c r="T6" s="27">
        <v>5180</v>
      </c>
      <c r="U6" t="s">
        <v>95</v>
      </c>
      <c r="V6" t="s">
        <v>186</v>
      </c>
      <c r="Y6" t="s">
        <v>187</v>
      </c>
      <c r="Z6" s="27">
        <v>780</v>
      </c>
      <c r="AA6">
        <v>2</v>
      </c>
      <c r="AB6" s="27">
        <v>1.06</v>
      </c>
      <c r="AD6" t="s">
        <v>207</v>
      </c>
      <c r="AE6" t="s">
        <v>97</v>
      </c>
      <c r="AF6" t="s">
        <v>208</v>
      </c>
      <c r="AH6" t="s">
        <v>190</v>
      </c>
      <c r="AI6" s="27">
        <v>-40</v>
      </c>
      <c r="AJ6">
        <v>0</v>
      </c>
      <c r="AK6">
        <v>-40</v>
      </c>
      <c r="AO6" s="27"/>
    </row>
    <row r="7" spans="1:42" x14ac:dyDescent="0.35">
      <c r="A7" t="s">
        <v>90</v>
      </c>
      <c r="B7" t="s">
        <v>91</v>
      </c>
      <c r="C7">
        <v>1</v>
      </c>
      <c r="D7" t="s">
        <v>97</v>
      </c>
      <c r="E7" t="s">
        <v>97</v>
      </c>
      <c r="F7" t="s">
        <v>209</v>
      </c>
      <c r="G7" t="s">
        <v>210</v>
      </c>
      <c r="H7" t="s">
        <v>211</v>
      </c>
      <c r="J7" s="27">
        <v>6.3</v>
      </c>
      <c r="K7" s="27">
        <v>6.6</v>
      </c>
      <c r="L7" s="27">
        <v>30</v>
      </c>
      <c r="M7" t="s">
        <v>212</v>
      </c>
      <c r="N7" s="27">
        <v>6.3</v>
      </c>
      <c r="O7" s="27">
        <v>6.6</v>
      </c>
      <c r="P7" s="27">
        <v>27.64</v>
      </c>
      <c r="Q7" s="27">
        <v>1.3</v>
      </c>
      <c r="S7" t="s">
        <v>206</v>
      </c>
      <c r="T7" s="27">
        <v>5180</v>
      </c>
      <c r="U7" t="s">
        <v>95</v>
      </c>
      <c r="V7" t="s">
        <v>186</v>
      </c>
      <c r="Y7" t="s">
        <v>187</v>
      </c>
      <c r="Z7" s="27">
        <v>630</v>
      </c>
      <c r="AA7">
        <v>2</v>
      </c>
      <c r="AB7" s="27">
        <v>1.06</v>
      </c>
      <c r="AD7" t="s">
        <v>213</v>
      </c>
      <c r="AE7" t="s">
        <v>97</v>
      </c>
      <c r="AF7" t="s">
        <v>208</v>
      </c>
      <c r="AH7" t="s">
        <v>190</v>
      </c>
      <c r="AI7" s="27">
        <v>30</v>
      </c>
      <c r="AJ7">
        <v>0</v>
      </c>
      <c r="AK7">
        <v>20</v>
      </c>
      <c r="AL7">
        <v>30</v>
      </c>
      <c r="AO7" s="27"/>
    </row>
    <row r="8" spans="1:42" x14ac:dyDescent="0.35">
      <c r="A8" t="s">
        <v>90</v>
      </c>
      <c r="B8" t="s">
        <v>91</v>
      </c>
      <c r="C8">
        <v>1</v>
      </c>
      <c r="D8" t="s">
        <v>92</v>
      </c>
      <c r="E8" t="s">
        <v>92</v>
      </c>
      <c r="F8" t="s">
        <v>214</v>
      </c>
      <c r="G8" t="s">
        <v>215</v>
      </c>
      <c r="H8" t="s">
        <v>93</v>
      </c>
      <c r="I8" t="s">
        <v>94</v>
      </c>
      <c r="J8" s="27">
        <v>5.8</v>
      </c>
      <c r="K8" s="27">
        <v>6</v>
      </c>
      <c r="L8" s="27">
        <v>20</v>
      </c>
      <c r="M8" t="s">
        <v>216</v>
      </c>
      <c r="N8" s="27">
        <v>5.8</v>
      </c>
      <c r="O8" s="27">
        <v>6</v>
      </c>
      <c r="P8" s="27">
        <v>17.64</v>
      </c>
      <c r="Q8" s="27">
        <v>1.3</v>
      </c>
      <c r="S8" t="s">
        <v>217</v>
      </c>
      <c r="T8" s="27">
        <v>4970</v>
      </c>
      <c r="U8" t="s">
        <v>95</v>
      </c>
      <c r="V8" t="s">
        <v>186</v>
      </c>
      <c r="Y8" t="s">
        <v>187</v>
      </c>
      <c r="Z8" s="27">
        <v>580</v>
      </c>
      <c r="AA8">
        <v>2</v>
      </c>
      <c r="AB8" s="27">
        <v>1.06</v>
      </c>
      <c r="AD8" t="s">
        <v>218</v>
      </c>
      <c r="AE8" t="s">
        <v>92</v>
      </c>
      <c r="AF8" t="s">
        <v>208</v>
      </c>
      <c r="AH8" t="s">
        <v>190</v>
      </c>
      <c r="AI8" s="27">
        <v>20</v>
      </c>
      <c r="AJ8">
        <v>0</v>
      </c>
      <c r="AK8">
        <v>-95</v>
      </c>
      <c r="AL8">
        <v>20</v>
      </c>
      <c r="AO8" s="27"/>
    </row>
    <row r="9" spans="1:42" x14ac:dyDescent="0.35">
      <c r="A9" t="s">
        <v>191</v>
      </c>
      <c r="B9" t="s">
        <v>27</v>
      </c>
      <c r="C9">
        <v>13</v>
      </c>
      <c r="D9" t="s">
        <v>219</v>
      </c>
      <c r="E9" t="s">
        <v>219</v>
      </c>
      <c r="F9" t="s">
        <v>220</v>
      </c>
      <c r="G9" t="s">
        <v>220</v>
      </c>
      <c r="J9" s="27">
        <v>71.95</v>
      </c>
      <c r="K9" s="27"/>
      <c r="L9" s="27"/>
      <c r="N9" s="27">
        <v>71.95</v>
      </c>
      <c r="O9" s="27"/>
      <c r="P9" s="27">
        <v>0</v>
      </c>
      <c r="Q9" s="27"/>
      <c r="T9" s="27">
        <v>0</v>
      </c>
      <c r="U9" t="s">
        <v>100</v>
      </c>
      <c r="V9" t="s">
        <v>186</v>
      </c>
      <c r="Y9" t="s">
        <v>187</v>
      </c>
      <c r="Z9" s="27">
        <v>935.35</v>
      </c>
      <c r="AA9">
        <v>1</v>
      </c>
      <c r="AB9" s="27"/>
      <c r="AD9" t="s">
        <v>195</v>
      </c>
      <c r="AE9" t="s">
        <v>219</v>
      </c>
      <c r="AF9" t="s">
        <v>189</v>
      </c>
      <c r="AG9">
        <v>13</v>
      </c>
      <c r="AH9" t="s">
        <v>190</v>
      </c>
      <c r="AI9" s="27"/>
      <c r="AJ9">
        <v>0</v>
      </c>
      <c r="AO9" s="27"/>
    </row>
    <row r="10" spans="1:42" x14ac:dyDescent="0.35">
      <c r="A10" t="s">
        <v>191</v>
      </c>
      <c r="B10" t="s">
        <v>221</v>
      </c>
      <c r="C10">
        <v>22</v>
      </c>
      <c r="D10" t="s">
        <v>222</v>
      </c>
      <c r="E10" t="s">
        <v>222</v>
      </c>
      <c r="F10" t="s">
        <v>223</v>
      </c>
      <c r="G10" t="s">
        <v>223</v>
      </c>
      <c r="J10" s="27">
        <v>17.629899999999999</v>
      </c>
      <c r="K10" s="27"/>
      <c r="L10" s="27"/>
      <c r="N10" s="27">
        <v>17.629899999999999</v>
      </c>
      <c r="O10" s="27"/>
      <c r="P10" s="27">
        <v>0</v>
      </c>
      <c r="Q10" s="27"/>
      <c r="T10" s="27">
        <v>0</v>
      </c>
      <c r="U10" t="s">
        <v>100</v>
      </c>
      <c r="V10" t="s">
        <v>186</v>
      </c>
      <c r="Y10" t="s">
        <v>187</v>
      </c>
      <c r="Z10" s="27">
        <v>387.86</v>
      </c>
      <c r="AA10">
        <v>1</v>
      </c>
      <c r="AB10" s="27"/>
      <c r="AD10" t="s">
        <v>195</v>
      </c>
      <c r="AE10" t="s">
        <v>222</v>
      </c>
      <c r="AF10" t="s">
        <v>117</v>
      </c>
      <c r="AG10">
        <v>22</v>
      </c>
      <c r="AH10" t="s">
        <v>190</v>
      </c>
      <c r="AI10" s="27"/>
      <c r="AJ10">
        <v>0</v>
      </c>
      <c r="AO10" s="27"/>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F0"/>
  </sheetPr>
  <dimension ref="A1:J190"/>
  <sheetViews>
    <sheetView topLeftCell="A151" workbookViewId="0">
      <selection activeCell="B189" sqref="B189"/>
    </sheetView>
  </sheetViews>
  <sheetFormatPr defaultRowHeight="14.5" x14ac:dyDescent="0.35"/>
  <cols>
    <col min="1" max="1" width="31.36328125" customWidth="1"/>
  </cols>
  <sheetData>
    <row r="1" spans="1:10" x14ac:dyDescent="0.35">
      <c r="B1" t="s">
        <v>224</v>
      </c>
      <c r="C1" t="s">
        <v>225</v>
      </c>
      <c r="D1" t="s">
        <v>226</v>
      </c>
      <c r="E1" t="s">
        <v>227</v>
      </c>
      <c r="F1" t="s">
        <v>228</v>
      </c>
      <c r="G1" t="s">
        <v>229</v>
      </c>
      <c r="H1" t="s">
        <v>230</v>
      </c>
      <c r="I1" t="s">
        <v>231</v>
      </c>
      <c r="J1" t="s">
        <v>232</v>
      </c>
    </row>
    <row r="2" spans="1:10" x14ac:dyDescent="0.35">
      <c r="A2" s="1" t="s">
        <v>233</v>
      </c>
    </row>
    <row r="3" spans="1:10" x14ac:dyDescent="0.35">
      <c r="A3" t="s">
        <v>234</v>
      </c>
      <c r="B3" t="s">
        <v>116</v>
      </c>
      <c r="C3" t="s">
        <v>125</v>
      </c>
      <c r="D3" t="s">
        <v>235</v>
      </c>
    </row>
    <row r="4" spans="1:10" x14ac:dyDescent="0.35">
      <c r="A4" t="s">
        <v>236</v>
      </c>
      <c r="B4" t="s">
        <v>237</v>
      </c>
      <c r="C4" t="s">
        <v>155</v>
      </c>
    </row>
    <row r="5" spans="1:10" x14ac:dyDescent="0.35">
      <c r="A5" t="s">
        <v>238</v>
      </c>
      <c r="B5" t="s">
        <v>239</v>
      </c>
      <c r="C5" t="s">
        <v>240</v>
      </c>
    </row>
    <row r="6" spans="1:10" x14ac:dyDescent="0.35">
      <c r="A6" t="s">
        <v>241</v>
      </c>
      <c r="B6" t="s">
        <v>242</v>
      </c>
    </row>
    <row r="7" spans="1:10" x14ac:dyDescent="0.35">
      <c r="A7" t="s">
        <v>243</v>
      </c>
      <c r="B7" t="s">
        <v>244</v>
      </c>
    </row>
    <row r="8" spans="1:10" x14ac:dyDescent="0.35">
      <c r="A8" t="s">
        <v>245</v>
      </c>
      <c r="B8" t="s">
        <v>246</v>
      </c>
    </row>
    <row r="9" spans="1:10" x14ac:dyDescent="0.35">
      <c r="A9" t="s">
        <v>247</v>
      </c>
      <c r="B9" t="s">
        <v>248</v>
      </c>
      <c r="C9" t="s">
        <v>249</v>
      </c>
      <c r="D9" t="s">
        <v>250</v>
      </c>
      <c r="E9" s="24" t="s">
        <v>251</v>
      </c>
    </row>
    <row r="10" spans="1:10" x14ac:dyDescent="0.35">
      <c r="A10" t="s">
        <v>252</v>
      </c>
      <c r="B10" t="s">
        <v>253</v>
      </c>
      <c r="C10" t="s">
        <v>254</v>
      </c>
      <c r="D10" t="s">
        <v>255</v>
      </c>
    </row>
    <row r="11" spans="1:10" x14ac:dyDescent="0.35">
      <c r="A11" t="s">
        <v>256</v>
      </c>
      <c r="B11" t="s">
        <v>257</v>
      </c>
      <c r="C11" t="s">
        <v>258</v>
      </c>
      <c r="D11" t="s">
        <v>259</v>
      </c>
      <c r="E11" s="24" t="s">
        <v>260</v>
      </c>
      <c r="F11" t="s">
        <v>261</v>
      </c>
    </row>
    <row r="12" spans="1:10" x14ac:dyDescent="0.35">
      <c r="A12" t="s">
        <v>262</v>
      </c>
      <c r="B12" t="s">
        <v>263</v>
      </c>
    </row>
    <row r="13" spans="1:10" x14ac:dyDescent="0.35">
      <c r="A13" t="s">
        <v>264</v>
      </c>
      <c r="B13" t="s">
        <v>29</v>
      </c>
    </row>
    <row r="14" spans="1:10" x14ac:dyDescent="0.35">
      <c r="A14" t="s">
        <v>265</v>
      </c>
      <c r="B14" t="s">
        <v>131</v>
      </c>
    </row>
    <row r="15" spans="1:10" x14ac:dyDescent="0.35">
      <c r="A15" t="s">
        <v>266</v>
      </c>
      <c r="B15" t="s">
        <v>29</v>
      </c>
    </row>
    <row r="16" spans="1:10" x14ac:dyDescent="0.35">
      <c r="A16" t="s">
        <v>267</v>
      </c>
      <c r="B16">
        <v>0.1</v>
      </c>
    </row>
    <row r="17" spans="1:7" x14ac:dyDescent="0.35">
      <c r="A17" t="s">
        <v>268</v>
      </c>
      <c r="B17" t="s">
        <v>269</v>
      </c>
      <c r="C17" t="s">
        <v>270</v>
      </c>
      <c r="D17" s="16" t="s">
        <v>271</v>
      </c>
    </row>
    <row r="18" spans="1:7" x14ac:dyDescent="0.35">
      <c r="A18" t="s">
        <v>272</v>
      </c>
      <c r="B18" t="s">
        <v>127</v>
      </c>
      <c r="C18" t="s">
        <v>248</v>
      </c>
      <c r="D18" t="s">
        <v>273</v>
      </c>
      <c r="E18" t="s">
        <v>61</v>
      </c>
      <c r="F18" t="s">
        <v>9</v>
      </c>
      <c r="G18" t="s">
        <v>274</v>
      </c>
    </row>
    <row r="19" spans="1:7" x14ac:dyDescent="0.35">
      <c r="A19" t="s">
        <v>275</v>
      </c>
    </row>
    <row r="21" spans="1:7" x14ac:dyDescent="0.35">
      <c r="A21" s="1" t="s">
        <v>276</v>
      </c>
    </row>
    <row r="22" spans="1:7" x14ac:dyDescent="0.35">
      <c r="A22" t="s">
        <v>234</v>
      </c>
      <c r="B22" t="s">
        <v>277</v>
      </c>
    </row>
    <row r="23" spans="1:7" x14ac:dyDescent="0.35">
      <c r="A23" t="s">
        <v>236</v>
      </c>
      <c r="B23" t="s">
        <v>237</v>
      </c>
      <c r="C23" t="s">
        <v>155</v>
      </c>
    </row>
    <row r="24" spans="1:7" x14ac:dyDescent="0.35">
      <c r="A24" t="s">
        <v>238</v>
      </c>
      <c r="B24" t="s">
        <v>278</v>
      </c>
    </row>
    <row r="25" spans="1:7" x14ac:dyDescent="0.35">
      <c r="A25" t="s">
        <v>241</v>
      </c>
      <c r="B25" t="s">
        <v>279</v>
      </c>
    </row>
    <row r="26" spans="1:7" x14ac:dyDescent="0.35">
      <c r="A26" t="s">
        <v>243</v>
      </c>
      <c r="B26" t="s">
        <v>280</v>
      </c>
    </row>
    <row r="27" spans="1:7" x14ac:dyDescent="0.35">
      <c r="A27" t="s">
        <v>245</v>
      </c>
      <c r="B27" t="s">
        <v>281</v>
      </c>
    </row>
    <row r="28" spans="1:7" x14ac:dyDescent="0.35">
      <c r="A28" t="s">
        <v>247</v>
      </c>
      <c r="B28" t="s">
        <v>139</v>
      </c>
    </row>
    <row r="29" spans="1:7" x14ac:dyDescent="0.35">
      <c r="A29" t="s">
        <v>252</v>
      </c>
      <c r="B29" t="s">
        <v>139</v>
      </c>
    </row>
    <row r="30" spans="1:7" x14ac:dyDescent="0.35">
      <c r="A30" t="s">
        <v>256</v>
      </c>
      <c r="B30" t="s">
        <v>282</v>
      </c>
      <c r="C30" t="s">
        <v>283</v>
      </c>
    </row>
    <row r="31" spans="1:7" x14ac:dyDescent="0.35">
      <c r="A31" t="s">
        <v>262</v>
      </c>
      <c r="B31" t="s">
        <v>284</v>
      </c>
    </row>
    <row r="32" spans="1:7" x14ac:dyDescent="0.35">
      <c r="A32" t="s">
        <v>264</v>
      </c>
      <c r="B32" t="s">
        <v>139</v>
      </c>
    </row>
    <row r="33" spans="1:5" x14ac:dyDescent="0.35">
      <c r="A33" t="s">
        <v>265</v>
      </c>
      <c r="B33" t="s">
        <v>122</v>
      </c>
    </row>
    <row r="34" spans="1:5" x14ac:dyDescent="0.35">
      <c r="A34" t="s">
        <v>266</v>
      </c>
      <c r="B34" t="s">
        <v>29</v>
      </c>
    </row>
    <row r="35" spans="1:5" x14ac:dyDescent="0.35">
      <c r="A35" t="s">
        <v>267</v>
      </c>
      <c r="B35">
        <v>0.1</v>
      </c>
    </row>
    <row r="36" spans="1:5" x14ac:dyDescent="0.35">
      <c r="A36" t="s">
        <v>268</v>
      </c>
      <c r="B36" t="s">
        <v>110</v>
      </c>
      <c r="C36" t="s">
        <v>285</v>
      </c>
      <c r="D36" s="16" t="s">
        <v>271</v>
      </c>
    </row>
    <row r="37" spans="1:5" x14ac:dyDescent="0.35">
      <c r="A37" t="s">
        <v>272</v>
      </c>
      <c r="B37" t="s">
        <v>93</v>
      </c>
      <c r="C37" t="s">
        <v>248</v>
      </c>
      <c r="D37" t="s">
        <v>274</v>
      </c>
    </row>
    <row r="38" spans="1:5" x14ac:dyDescent="0.35">
      <c r="A38" t="s">
        <v>275</v>
      </c>
    </row>
    <row r="40" spans="1:5" x14ac:dyDescent="0.35">
      <c r="A40" s="1" t="s">
        <v>286</v>
      </c>
    </row>
    <row r="41" spans="1:5" x14ac:dyDescent="0.35">
      <c r="A41" t="s">
        <v>234</v>
      </c>
      <c r="B41" t="s">
        <v>116</v>
      </c>
      <c r="C41" t="s">
        <v>125</v>
      </c>
      <c r="D41" t="s">
        <v>235</v>
      </c>
    </row>
    <row r="42" spans="1:5" x14ac:dyDescent="0.35">
      <c r="A42" t="s">
        <v>236</v>
      </c>
      <c r="B42" t="s">
        <v>237</v>
      </c>
      <c r="C42" t="s">
        <v>155</v>
      </c>
    </row>
    <row r="43" spans="1:5" x14ac:dyDescent="0.35">
      <c r="A43" t="s">
        <v>238</v>
      </c>
      <c r="B43" t="s">
        <v>287</v>
      </c>
      <c r="C43" t="s">
        <v>240</v>
      </c>
    </row>
    <row r="44" spans="1:5" x14ac:dyDescent="0.35">
      <c r="A44" t="s">
        <v>241</v>
      </c>
      <c r="B44" t="s">
        <v>242</v>
      </c>
    </row>
    <row r="45" spans="1:5" x14ac:dyDescent="0.35">
      <c r="A45" t="s">
        <v>243</v>
      </c>
      <c r="B45" t="s">
        <v>244</v>
      </c>
    </row>
    <row r="46" spans="1:5" x14ac:dyDescent="0.35">
      <c r="A46" t="s">
        <v>245</v>
      </c>
      <c r="B46" t="s">
        <v>246</v>
      </c>
    </row>
    <row r="47" spans="1:5" x14ac:dyDescent="0.35">
      <c r="A47" t="s">
        <v>247</v>
      </c>
      <c r="B47" t="s">
        <v>248</v>
      </c>
      <c r="C47" t="s">
        <v>288</v>
      </c>
      <c r="D47" t="s">
        <v>250</v>
      </c>
      <c r="E47" s="24" t="s">
        <v>251</v>
      </c>
    </row>
    <row r="48" spans="1:5" x14ac:dyDescent="0.35">
      <c r="A48" t="s">
        <v>252</v>
      </c>
      <c r="B48" t="s">
        <v>253</v>
      </c>
      <c r="C48" t="s">
        <v>254</v>
      </c>
      <c r="D48" t="s">
        <v>255</v>
      </c>
    </row>
    <row r="49" spans="1:7" x14ac:dyDescent="0.35">
      <c r="A49" t="s">
        <v>256</v>
      </c>
      <c r="B49" t="s">
        <v>257</v>
      </c>
      <c r="C49" t="s">
        <v>258</v>
      </c>
      <c r="D49" t="s">
        <v>259</v>
      </c>
      <c r="E49" s="24" t="s">
        <v>260</v>
      </c>
      <c r="F49" t="s">
        <v>261</v>
      </c>
    </row>
    <row r="50" spans="1:7" x14ac:dyDescent="0.35">
      <c r="A50" t="s">
        <v>262</v>
      </c>
      <c r="B50" t="s">
        <v>289</v>
      </c>
      <c r="C50" t="s">
        <v>290</v>
      </c>
    </row>
    <row r="51" spans="1:7" x14ac:dyDescent="0.35">
      <c r="A51" t="s">
        <v>264</v>
      </c>
      <c r="B51" t="s">
        <v>29</v>
      </c>
    </row>
    <row r="52" spans="1:7" x14ac:dyDescent="0.35">
      <c r="A52" t="s">
        <v>265</v>
      </c>
      <c r="B52" t="s">
        <v>131</v>
      </c>
    </row>
    <row r="53" spans="1:7" x14ac:dyDescent="0.35">
      <c r="A53" t="s">
        <v>266</v>
      </c>
      <c r="B53" t="s">
        <v>29</v>
      </c>
    </row>
    <row r="54" spans="1:7" x14ac:dyDescent="0.35">
      <c r="A54" t="s">
        <v>267</v>
      </c>
      <c r="B54">
        <v>0.1</v>
      </c>
    </row>
    <row r="55" spans="1:7" x14ac:dyDescent="0.35">
      <c r="A55" t="s">
        <v>268</v>
      </c>
      <c r="B55" t="s">
        <v>269</v>
      </c>
      <c r="C55" t="s">
        <v>270</v>
      </c>
      <c r="D55" s="16" t="s">
        <v>271</v>
      </c>
    </row>
    <row r="56" spans="1:7" x14ac:dyDescent="0.35">
      <c r="A56" t="s">
        <v>272</v>
      </c>
      <c r="B56" t="s">
        <v>135</v>
      </c>
      <c r="C56" t="s">
        <v>248</v>
      </c>
      <c r="D56" t="s">
        <v>273</v>
      </c>
      <c r="E56" t="s">
        <v>61</v>
      </c>
      <c r="F56" t="s">
        <v>9</v>
      </c>
      <c r="G56" t="s">
        <v>274</v>
      </c>
    </row>
    <row r="57" spans="1:7" x14ac:dyDescent="0.35">
      <c r="A57" t="s">
        <v>275</v>
      </c>
    </row>
    <row r="59" spans="1:7" x14ac:dyDescent="0.35">
      <c r="A59" s="1" t="s">
        <v>291</v>
      </c>
    </row>
    <row r="60" spans="1:7" x14ac:dyDescent="0.35">
      <c r="A60" t="s">
        <v>234</v>
      </c>
      <c r="B60" t="s">
        <v>116</v>
      </c>
      <c r="C60" t="s">
        <v>125</v>
      </c>
      <c r="D60" t="s">
        <v>235</v>
      </c>
      <c r="E60" t="s">
        <v>292</v>
      </c>
    </row>
    <row r="61" spans="1:7" x14ac:dyDescent="0.35">
      <c r="A61" t="s">
        <v>236</v>
      </c>
      <c r="B61" t="s">
        <v>237</v>
      </c>
      <c r="C61" t="s">
        <v>155</v>
      </c>
    </row>
    <row r="62" spans="1:7" x14ac:dyDescent="0.35">
      <c r="A62" t="s">
        <v>238</v>
      </c>
      <c r="B62" t="s">
        <v>293</v>
      </c>
      <c r="C62" t="s">
        <v>240</v>
      </c>
    </row>
    <row r="63" spans="1:7" x14ac:dyDescent="0.35">
      <c r="A63" t="s">
        <v>241</v>
      </c>
      <c r="B63" t="s">
        <v>242</v>
      </c>
    </row>
    <row r="64" spans="1:7" x14ac:dyDescent="0.35">
      <c r="A64" t="s">
        <v>243</v>
      </c>
      <c r="B64" t="s">
        <v>244</v>
      </c>
    </row>
    <row r="65" spans="1:7" x14ac:dyDescent="0.35">
      <c r="A65" t="s">
        <v>245</v>
      </c>
      <c r="B65" t="s">
        <v>246</v>
      </c>
    </row>
    <row r="66" spans="1:7" x14ac:dyDescent="0.35">
      <c r="A66" t="s">
        <v>247</v>
      </c>
      <c r="B66" t="s">
        <v>248</v>
      </c>
      <c r="C66" t="s">
        <v>249</v>
      </c>
      <c r="D66" t="s">
        <v>250</v>
      </c>
      <c r="E66" s="24" t="s">
        <v>251</v>
      </c>
    </row>
    <row r="67" spans="1:7" x14ac:dyDescent="0.35">
      <c r="A67" t="s">
        <v>252</v>
      </c>
      <c r="B67" t="s">
        <v>253</v>
      </c>
      <c r="C67" t="s">
        <v>254</v>
      </c>
      <c r="D67" t="s">
        <v>255</v>
      </c>
    </row>
    <row r="68" spans="1:7" x14ac:dyDescent="0.35">
      <c r="A68" t="s">
        <v>256</v>
      </c>
      <c r="B68" t="s">
        <v>257</v>
      </c>
      <c r="C68" t="s">
        <v>258</v>
      </c>
      <c r="D68" t="s">
        <v>259</v>
      </c>
      <c r="E68" s="24" t="s">
        <v>260</v>
      </c>
      <c r="F68" t="s">
        <v>261</v>
      </c>
    </row>
    <row r="69" spans="1:7" x14ac:dyDescent="0.35">
      <c r="A69" t="s">
        <v>262</v>
      </c>
      <c r="B69" t="s">
        <v>289</v>
      </c>
      <c r="C69" t="s">
        <v>290</v>
      </c>
    </row>
    <row r="70" spans="1:7" x14ac:dyDescent="0.35">
      <c r="A70" t="s">
        <v>264</v>
      </c>
      <c r="B70" t="s">
        <v>29</v>
      </c>
    </row>
    <row r="71" spans="1:7" x14ac:dyDescent="0.35">
      <c r="A71" t="s">
        <v>265</v>
      </c>
      <c r="B71" t="s">
        <v>122</v>
      </c>
    </row>
    <row r="72" spans="1:7" x14ac:dyDescent="0.35">
      <c r="A72" t="s">
        <v>266</v>
      </c>
      <c r="B72" t="s">
        <v>29</v>
      </c>
    </row>
    <row r="73" spans="1:7" x14ac:dyDescent="0.35">
      <c r="A73" t="s">
        <v>267</v>
      </c>
      <c r="B73">
        <v>0.1</v>
      </c>
    </row>
    <row r="74" spans="1:7" x14ac:dyDescent="0.35">
      <c r="A74" t="s">
        <v>268</v>
      </c>
      <c r="B74" t="s">
        <v>269</v>
      </c>
      <c r="C74" t="s">
        <v>270</v>
      </c>
      <c r="D74" s="16" t="s">
        <v>271</v>
      </c>
    </row>
    <row r="75" spans="1:7" x14ac:dyDescent="0.35">
      <c r="A75" t="s">
        <v>272</v>
      </c>
      <c r="B75" t="s">
        <v>141</v>
      </c>
      <c r="C75" t="s">
        <v>248</v>
      </c>
      <c r="D75" t="s">
        <v>273</v>
      </c>
      <c r="E75" t="s">
        <v>61</v>
      </c>
      <c r="F75" t="s">
        <v>9</v>
      </c>
      <c r="G75" t="s">
        <v>274</v>
      </c>
    </row>
    <row r="76" spans="1:7" x14ac:dyDescent="0.35">
      <c r="A76" t="s">
        <v>275</v>
      </c>
    </row>
    <row r="78" spans="1:7" x14ac:dyDescent="0.35">
      <c r="A78" s="1" t="s">
        <v>294</v>
      </c>
    </row>
    <row r="79" spans="1:7" x14ac:dyDescent="0.35">
      <c r="A79" t="s">
        <v>234</v>
      </c>
      <c r="B79" t="s">
        <v>116</v>
      </c>
      <c r="C79" t="s">
        <v>125</v>
      </c>
      <c r="D79" t="s">
        <v>235</v>
      </c>
      <c r="E79" t="s">
        <v>292</v>
      </c>
    </row>
    <row r="80" spans="1:7" x14ac:dyDescent="0.35">
      <c r="A80" t="s">
        <v>236</v>
      </c>
      <c r="B80" t="s">
        <v>237</v>
      </c>
      <c r="C80" t="s">
        <v>155</v>
      </c>
    </row>
    <row r="81" spans="1:8" x14ac:dyDescent="0.35">
      <c r="A81" t="s">
        <v>238</v>
      </c>
      <c r="B81" t="s">
        <v>293</v>
      </c>
      <c r="C81" t="s">
        <v>295</v>
      </c>
    </row>
    <row r="82" spans="1:8" x14ac:dyDescent="0.35">
      <c r="A82" t="s">
        <v>241</v>
      </c>
      <c r="B82" s="24" t="s">
        <v>296</v>
      </c>
    </row>
    <row r="83" spans="1:8" x14ac:dyDescent="0.35">
      <c r="A83" t="s">
        <v>243</v>
      </c>
      <c r="B83" t="s">
        <v>244</v>
      </c>
    </row>
    <row r="84" spans="1:8" x14ac:dyDescent="0.35">
      <c r="A84" t="s">
        <v>245</v>
      </c>
      <c r="B84" t="s">
        <v>297</v>
      </c>
    </row>
    <row r="85" spans="1:8" x14ac:dyDescent="0.35">
      <c r="A85" t="s">
        <v>247</v>
      </c>
      <c r="B85" t="s">
        <v>248</v>
      </c>
      <c r="C85" t="s">
        <v>249</v>
      </c>
      <c r="D85" t="s">
        <v>250</v>
      </c>
      <c r="E85" s="24" t="s">
        <v>251</v>
      </c>
    </row>
    <row r="86" spans="1:8" x14ac:dyDescent="0.35">
      <c r="A86" t="s">
        <v>252</v>
      </c>
      <c r="B86" t="s">
        <v>253</v>
      </c>
      <c r="C86" t="s">
        <v>254</v>
      </c>
      <c r="D86" t="s">
        <v>255</v>
      </c>
    </row>
    <row r="87" spans="1:8" x14ac:dyDescent="0.35">
      <c r="A87" t="s">
        <v>256</v>
      </c>
      <c r="B87" t="s">
        <v>257</v>
      </c>
      <c r="C87" t="s">
        <v>258</v>
      </c>
      <c r="D87" t="s">
        <v>259</v>
      </c>
      <c r="E87" s="24" t="s">
        <v>260</v>
      </c>
      <c r="F87" t="s">
        <v>261</v>
      </c>
      <c r="G87" t="s">
        <v>298</v>
      </c>
    </row>
    <row r="88" spans="1:8" x14ac:dyDescent="0.35">
      <c r="A88" t="s">
        <v>262</v>
      </c>
      <c r="B88" t="s">
        <v>299</v>
      </c>
      <c r="C88" t="s">
        <v>290</v>
      </c>
    </row>
    <row r="89" spans="1:8" x14ac:dyDescent="0.35">
      <c r="A89" t="s">
        <v>264</v>
      </c>
      <c r="B89" t="s">
        <v>29</v>
      </c>
    </row>
    <row r="90" spans="1:8" x14ac:dyDescent="0.35">
      <c r="A90" t="s">
        <v>265</v>
      </c>
      <c r="B90" t="s">
        <v>122</v>
      </c>
    </row>
    <row r="91" spans="1:8" x14ac:dyDescent="0.35">
      <c r="A91" t="s">
        <v>266</v>
      </c>
      <c r="B91" t="s">
        <v>29</v>
      </c>
    </row>
    <row r="92" spans="1:8" x14ac:dyDescent="0.35">
      <c r="A92" t="s">
        <v>267</v>
      </c>
      <c r="B92">
        <v>0.1</v>
      </c>
    </row>
    <row r="93" spans="1:8" x14ac:dyDescent="0.35">
      <c r="A93" t="s">
        <v>268</v>
      </c>
      <c r="B93" t="s">
        <v>269</v>
      </c>
      <c r="C93" t="s">
        <v>270</v>
      </c>
      <c r="D93" s="16" t="s">
        <v>271</v>
      </c>
    </row>
    <row r="94" spans="1:8" x14ac:dyDescent="0.35">
      <c r="A94" t="s">
        <v>272</v>
      </c>
      <c r="B94" t="s">
        <v>144</v>
      </c>
      <c r="C94" t="s">
        <v>248</v>
      </c>
      <c r="D94" t="s">
        <v>273</v>
      </c>
      <c r="E94" t="s">
        <v>61</v>
      </c>
      <c r="F94" t="s">
        <v>9</v>
      </c>
      <c r="G94" t="s">
        <v>274</v>
      </c>
      <c r="H94" t="s">
        <v>300</v>
      </c>
    </row>
    <row r="95" spans="1:8" x14ac:dyDescent="0.35">
      <c r="A95" t="s">
        <v>275</v>
      </c>
    </row>
    <row r="97" spans="1:8" x14ac:dyDescent="0.35">
      <c r="A97" s="1" t="s">
        <v>301</v>
      </c>
    </row>
    <row r="98" spans="1:8" x14ac:dyDescent="0.35">
      <c r="A98" t="s">
        <v>234</v>
      </c>
      <c r="B98" t="s">
        <v>116</v>
      </c>
      <c r="C98" t="s">
        <v>125</v>
      </c>
      <c r="D98" t="s">
        <v>235</v>
      </c>
      <c r="E98" t="s">
        <v>302</v>
      </c>
    </row>
    <row r="99" spans="1:8" x14ac:dyDescent="0.35">
      <c r="A99" t="s">
        <v>236</v>
      </c>
      <c r="B99" t="s">
        <v>237</v>
      </c>
      <c r="C99" t="s">
        <v>155</v>
      </c>
    </row>
    <row r="100" spans="1:8" x14ac:dyDescent="0.35">
      <c r="A100" t="s">
        <v>238</v>
      </c>
      <c r="B100" t="s">
        <v>303</v>
      </c>
      <c r="C100" t="s">
        <v>304</v>
      </c>
    </row>
    <row r="101" spans="1:8" x14ac:dyDescent="0.35">
      <c r="A101" t="s">
        <v>241</v>
      </c>
      <c r="B101" s="24" t="s">
        <v>305</v>
      </c>
    </row>
    <row r="102" spans="1:8" x14ac:dyDescent="0.35">
      <c r="A102" t="s">
        <v>243</v>
      </c>
      <c r="B102" t="s">
        <v>306</v>
      </c>
    </row>
    <row r="103" spans="1:8" x14ac:dyDescent="0.35">
      <c r="A103" t="s">
        <v>245</v>
      </c>
      <c r="B103" s="24" t="s">
        <v>307</v>
      </c>
    </row>
    <row r="104" spans="1:8" x14ac:dyDescent="0.35">
      <c r="A104" t="s">
        <v>247</v>
      </c>
      <c r="B104" t="s">
        <v>248</v>
      </c>
      <c r="C104" t="s">
        <v>249</v>
      </c>
      <c r="D104" t="s">
        <v>250</v>
      </c>
      <c r="E104" t="s">
        <v>251</v>
      </c>
    </row>
    <row r="105" spans="1:8" x14ac:dyDescent="0.35">
      <c r="A105" t="s">
        <v>252</v>
      </c>
      <c r="B105" t="s">
        <v>253</v>
      </c>
      <c r="C105" t="s">
        <v>254</v>
      </c>
      <c r="D105" t="s">
        <v>255</v>
      </c>
    </row>
    <row r="106" spans="1:8" x14ac:dyDescent="0.35">
      <c r="A106" t="s">
        <v>256</v>
      </c>
      <c r="B106" t="s">
        <v>257</v>
      </c>
      <c r="C106" t="s">
        <v>258</v>
      </c>
      <c r="D106" t="s">
        <v>259</v>
      </c>
      <c r="E106" s="24" t="s">
        <v>260</v>
      </c>
      <c r="F106" t="s">
        <v>261</v>
      </c>
      <c r="G106" t="s">
        <v>298</v>
      </c>
      <c r="H106" t="s">
        <v>308</v>
      </c>
    </row>
    <row r="107" spans="1:8" x14ac:dyDescent="0.35">
      <c r="A107" t="s">
        <v>262</v>
      </c>
      <c r="B107" t="s">
        <v>299</v>
      </c>
      <c r="C107" t="s">
        <v>290</v>
      </c>
      <c r="D107" t="s">
        <v>309</v>
      </c>
    </row>
    <row r="108" spans="1:8" x14ac:dyDescent="0.35">
      <c r="A108" t="s">
        <v>264</v>
      </c>
      <c r="B108" t="s">
        <v>29</v>
      </c>
    </row>
    <row r="109" spans="1:8" x14ac:dyDescent="0.35">
      <c r="A109" t="s">
        <v>265</v>
      </c>
      <c r="B109" t="s">
        <v>147</v>
      </c>
    </row>
    <row r="110" spans="1:8" x14ac:dyDescent="0.35">
      <c r="A110" t="s">
        <v>266</v>
      </c>
      <c r="B110" t="s">
        <v>29</v>
      </c>
    </row>
    <row r="111" spans="1:8" x14ac:dyDescent="0.35">
      <c r="A111" t="s">
        <v>267</v>
      </c>
      <c r="B111">
        <v>0.1</v>
      </c>
    </row>
    <row r="112" spans="1:8" x14ac:dyDescent="0.35">
      <c r="A112" t="s">
        <v>268</v>
      </c>
      <c r="B112" t="s">
        <v>269</v>
      </c>
      <c r="C112" t="s">
        <v>270</v>
      </c>
      <c r="D112" s="16" t="s">
        <v>271</v>
      </c>
    </row>
    <row r="113" spans="1:9" x14ac:dyDescent="0.35">
      <c r="A113" t="s">
        <v>272</v>
      </c>
      <c r="B113" t="s">
        <v>146</v>
      </c>
      <c r="C113" t="s">
        <v>248</v>
      </c>
      <c r="D113" t="s">
        <v>273</v>
      </c>
      <c r="E113" t="s">
        <v>61</v>
      </c>
      <c r="F113" t="s">
        <v>9</v>
      </c>
      <c r="G113" t="s">
        <v>274</v>
      </c>
      <c r="H113" t="s">
        <v>300</v>
      </c>
    </row>
    <row r="114" spans="1:9" x14ac:dyDescent="0.35">
      <c r="A114" t="s">
        <v>275</v>
      </c>
      <c r="B114" t="s">
        <v>310</v>
      </c>
    </row>
    <row r="116" spans="1:9" x14ac:dyDescent="0.35">
      <c r="A116" s="1" t="s">
        <v>311</v>
      </c>
    </row>
    <row r="117" spans="1:9" x14ac:dyDescent="0.35">
      <c r="A117" t="s">
        <v>234</v>
      </c>
      <c r="B117" t="s">
        <v>116</v>
      </c>
      <c r="C117" t="s">
        <v>125</v>
      </c>
      <c r="D117" t="s">
        <v>235</v>
      </c>
      <c r="E117" t="s">
        <v>302</v>
      </c>
    </row>
    <row r="118" spans="1:9" x14ac:dyDescent="0.35">
      <c r="A118" t="s">
        <v>236</v>
      </c>
      <c r="B118" t="s">
        <v>237</v>
      </c>
      <c r="C118" t="s">
        <v>155</v>
      </c>
    </row>
    <row r="119" spans="1:9" x14ac:dyDescent="0.35">
      <c r="A119" t="s">
        <v>238</v>
      </c>
      <c r="B119" t="s">
        <v>312</v>
      </c>
      <c r="C119" t="s">
        <v>313</v>
      </c>
    </row>
    <row r="120" spans="1:9" x14ac:dyDescent="0.35">
      <c r="A120" t="s">
        <v>241</v>
      </c>
      <c r="B120" s="24" t="s">
        <v>305</v>
      </c>
    </row>
    <row r="121" spans="1:9" x14ac:dyDescent="0.35">
      <c r="A121" t="s">
        <v>243</v>
      </c>
      <c r="B121" t="s">
        <v>306</v>
      </c>
    </row>
    <row r="122" spans="1:9" x14ac:dyDescent="0.35">
      <c r="A122" t="s">
        <v>245</v>
      </c>
      <c r="B122" s="24" t="s">
        <v>314</v>
      </c>
      <c r="C122" t="s">
        <v>315</v>
      </c>
    </row>
    <row r="123" spans="1:9" x14ac:dyDescent="0.35">
      <c r="A123" t="s">
        <v>247</v>
      </c>
      <c r="B123" t="s">
        <v>248</v>
      </c>
      <c r="C123" t="s">
        <v>249</v>
      </c>
      <c r="D123" t="s">
        <v>250</v>
      </c>
      <c r="E123" t="s">
        <v>316</v>
      </c>
    </row>
    <row r="124" spans="1:9" x14ac:dyDescent="0.35">
      <c r="A124" t="s">
        <v>252</v>
      </c>
      <c r="B124" t="s">
        <v>253</v>
      </c>
      <c r="C124" t="s">
        <v>254</v>
      </c>
      <c r="D124" t="s">
        <v>255</v>
      </c>
    </row>
    <row r="125" spans="1:9" x14ac:dyDescent="0.35">
      <c r="A125" t="s">
        <v>256</v>
      </c>
      <c r="B125" t="s">
        <v>257</v>
      </c>
      <c r="C125" t="s">
        <v>258</v>
      </c>
      <c r="D125" t="s">
        <v>259</v>
      </c>
      <c r="E125" s="24" t="s">
        <v>317</v>
      </c>
      <c r="F125" t="s">
        <v>318</v>
      </c>
      <c r="G125" t="s">
        <v>319</v>
      </c>
      <c r="H125" t="s">
        <v>320</v>
      </c>
      <c r="I125" t="s">
        <v>321</v>
      </c>
    </row>
    <row r="126" spans="1:9" x14ac:dyDescent="0.35">
      <c r="A126" t="s">
        <v>262</v>
      </c>
      <c r="B126" t="s">
        <v>299</v>
      </c>
      <c r="C126" t="s">
        <v>290</v>
      </c>
    </row>
    <row r="127" spans="1:9" x14ac:dyDescent="0.35">
      <c r="A127" t="s">
        <v>264</v>
      </c>
      <c r="B127" t="s">
        <v>29</v>
      </c>
    </row>
    <row r="128" spans="1:9" x14ac:dyDescent="0.35">
      <c r="A128" t="s">
        <v>265</v>
      </c>
      <c r="B128" t="s">
        <v>147</v>
      </c>
    </row>
    <row r="129" spans="1:7" x14ac:dyDescent="0.35">
      <c r="A129" t="s">
        <v>266</v>
      </c>
      <c r="B129" t="s">
        <v>29</v>
      </c>
    </row>
    <row r="130" spans="1:7" x14ac:dyDescent="0.35">
      <c r="A130" t="s">
        <v>267</v>
      </c>
      <c r="B130">
        <v>0.1</v>
      </c>
    </row>
    <row r="131" spans="1:7" x14ac:dyDescent="0.35">
      <c r="A131" t="s">
        <v>268</v>
      </c>
      <c r="B131" t="s">
        <v>269</v>
      </c>
      <c r="C131" t="s">
        <v>270</v>
      </c>
      <c r="D131" s="16" t="s">
        <v>271</v>
      </c>
    </row>
    <row r="132" spans="1:7" x14ac:dyDescent="0.35">
      <c r="A132" t="s">
        <v>272</v>
      </c>
      <c r="B132" t="s">
        <v>149</v>
      </c>
      <c r="C132" t="s">
        <v>248</v>
      </c>
      <c r="D132" t="s">
        <v>273</v>
      </c>
      <c r="E132" t="s">
        <v>61</v>
      </c>
      <c r="F132" t="s">
        <v>274</v>
      </c>
      <c r="G132" t="s">
        <v>300</v>
      </c>
    </row>
    <row r="133" spans="1:7" x14ac:dyDescent="0.35">
      <c r="A133" t="s">
        <v>275</v>
      </c>
      <c r="B133" t="s">
        <v>322</v>
      </c>
      <c r="C133" t="s">
        <v>323</v>
      </c>
    </row>
    <row r="135" spans="1:7" x14ac:dyDescent="0.35">
      <c r="A135" s="1" t="s">
        <v>324</v>
      </c>
    </row>
    <row r="136" spans="1:7" x14ac:dyDescent="0.35">
      <c r="A136" t="s">
        <v>234</v>
      </c>
      <c r="B136" t="s">
        <v>116</v>
      </c>
      <c r="C136" t="s">
        <v>125</v>
      </c>
      <c r="D136" t="s">
        <v>235</v>
      </c>
      <c r="E136" t="s">
        <v>302</v>
      </c>
    </row>
    <row r="137" spans="1:7" x14ac:dyDescent="0.35">
      <c r="A137" t="s">
        <v>236</v>
      </c>
      <c r="B137" t="s">
        <v>237</v>
      </c>
      <c r="C137" t="s">
        <v>155</v>
      </c>
    </row>
    <row r="138" spans="1:7" x14ac:dyDescent="0.35">
      <c r="A138" t="s">
        <v>238</v>
      </c>
      <c r="B138" t="s">
        <v>312</v>
      </c>
      <c r="C138" t="s">
        <v>325</v>
      </c>
    </row>
    <row r="139" spans="1:7" x14ac:dyDescent="0.35">
      <c r="A139" t="s">
        <v>241</v>
      </c>
      <c r="B139" s="24" t="s">
        <v>326</v>
      </c>
    </row>
    <row r="140" spans="1:7" x14ac:dyDescent="0.35">
      <c r="A140" t="s">
        <v>243</v>
      </c>
      <c r="B140" t="s">
        <v>327</v>
      </c>
    </row>
    <row r="141" spans="1:7" x14ac:dyDescent="0.35">
      <c r="A141" t="s">
        <v>245</v>
      </c>
      <c r="B141" s="24" t="s">
        <v>328</v>
      </c>
    </row>
    <row r="142" spans="1:7" x14ac:dyDescent="0.35">
      <c r="A142" t="s">
        <v>247</v>
      </c>
      <c r="B142" t="s">
        <v>248</v>
      </c>
      <c r="C142" t="s">
        <v>249</v>
      </c>
      <c r="D142" t="s">
        <v>250</v>
      </c>
      <c r="E142" t="s">
        <v>316</v>
      </c>
    </row>
    <row r="143" spans="1:7" x14ac:dyDescent="0.35">
      <c r="A143" t="s">
        <v>252</v>
      </c>
      <c r="B143" t="s">
        <v>253</v>
      </c>
      <c r="C143" t="s">
        <v>254</v>
      </c>
      <c r="D143" t="s">
        <v>255</v>
      </c>
    </row>
    <row r="144" spans="1:7" x14ac:dyDescent="0.35">
      <c r="A144" t="s">
        <v>256</v>
      </c>
      <c r="B144" t="s">
        <v>257</v>
      </c>
      <c r="C144" t="s">
        <v>258</v>
      </c>
      <c r="D144" t="s">
        <v>259</v>
      </c>
      <c r="E144" s="24" t="s">
        <v>317</v>
      </c>
      <c r="F144" t="s">
        <v>319</v>
      </c>
      <c r="G144" t="s">
        <v>320</v>
      </c>
    </row>
    <row r="145" spans="1:7" x14ac:dyDescent="0.35">
      <c r="A145" t="s">
        <v>262</v>
      </c>
      <c r="B145" t="s">
        <v>299</v>
      </c>
      <c r="C145" t="s">
        <v>290</v>
      </c>
    </row>
    <row r="146" spans="1:7" x14ac:dyDescent="0.35">
      <c r="A146" t="s">
        <v>264</v>
      </c>
      <c r="B146" t="s">
        <v>29</v>
      </c>
    </row>
    <row r="147" spans="1:7" x14ac:dyDescent="0.35">
      <c r="A147" t="s">
        <v>265</v>
      </c>
      <c r="B147" t="s">
        <v>147</v>
      </c>
    </row>
    <row r="148" spans="1:7" x14ac:dyDescent="0.35">
      <c r="A148" t="s">
        <v>266</v>
      </c>
      <c r="B148" t="s">
        <v>29</v>
      </c>
    </row>
    <row r="149" spans="1:7" x14ac:dyDescent="0.35">
      <c r="A149" t="s">
        <v>267</v>
      </c>
      <c r="B149">
        <v>0.1</v>
      </c>
    </row>
    <row r="150" spans="1:7" x14ac:dyDescent="0.35">
      <c r="A150" t="s">
        <v>268</v>
      </c>
      <c r="B150" t="s">
        <v>269</v>
      </c>
      <c r="C150" t="s">
        <v>270</v>
      </c>
      <c r="D150" s="16" t="s">
        <v>271</v>
      </c>
    </row>
    <row r="151" spans="1:7" x14ac:dyDescent="0.35">
      <c r="A151" t="s">
        <v>272</v>
      </c>
      <c r="B151" t="s">
        <v>151</v>
      </c>
      <c r="C151" t="s">
        <v>248</v>
      </c>
      <c r="D151" t="s">
        <v>273</v>
      </c>
      <c r="E151" t="s">
        <v>61</v>
      </c>
      <c r="F151" t="s">
        <v>274</v>
      </c>
      <c r="G151" t="s">
        <v>300</v>
      </c>
    </row>
    <row r="152" spans="1:7" x14ac:dyDescent="0.35">
      <c r="A152" t="s">
        <v>275</v>
      </c>
    </row>
    <row r="154" spans="1:7" x14ac:dyDescent="0.35">
      <c r="A154" s="1" t="s">
        <v>329</v>
      </c>
    </row>
    <row r="155" spans="1:7" x14ac:dyDescent="0.35">
      <c r="A155" t="s">
        <v>234</v>
      </c>
      <c r="B155" t="s">
        <v>330</v>
      </c>
    </row>
    <row r="156" spans="1:7" x14ac:dyDescent="0.35">
      <c r="A156" t="s">
        <v>236</v>
      </c>
      <c r="B156" t="s">
        <v>237</v>
      </c>
      <c r="C156" t="s">
        <v>155</v>
      </c>
    </row>
    <row r="157" spans="1:7" x14ac:dyDescent="0.35">
      <c r="A157" t="s">
        <v>238</v>
      </c>
      <c r="B157" t="s">
        <v>278</v>
      </c>
    </row>
    <row r="158" spans="1:7" x14ac:dyDescent="0.35">
      <c r="A158" t="s">
        <v>241</v>
      </c>
      <c r="B158" t="s">
        <v>331</v>
      </c>
    </row>
    <row r="159" spans="1:7" x14ac:dyDescent="0.35">
      <c r="A159" t="s">
        <v>243</v>
      </c>
      <c r="B159" t="s">
        <v>280</v>
      </c>
    </row>
    <row r="160" spans="1:7" x14ac:dyDescent="0.35">
      <c r="A160" t="s">
        <v>245</v>
      </c>
      <c r="B160" t="s">
        <v>332</v>
      </c>
    </row>
    <row r="161" spans="1:5" x14ac:dyDescent="0.35">
      <c r="A161" t="s">
        <v>247</v>
      </c>
      <c r="B161" t="s">
        <v>139</v>
      </c>
    </row>
    <row r="162" spans="1:5" x14ac:dyDescent="0.35">
      <c r="A162" t="s">
        <v>252</v>
      </c>
      <c r="B162" t="s">
        <v>139</v>
      </c>
    </row>
    <row r="163" spans="1:5" x14ac:dyDescent="0.35">
      <c r="A163" t="s">
        <v>256</v>
      </c>
    </row>
    <row r="164" spans="1:5" x14ac:dyDescent="0.35">
      <c r="A164" t="s">
        <v>262</v>
      </c>
      <c r="B164" t="s">
        <v>333</v>
      </c>
    </row>
    <row r="165" spans="1:5" x14ac:dyDescent="0.35">
      <c r="A165" t="s">
        <v>264</v>
      </c>
      <c r="B165" t="s">
        <v>139</v>
      </c>
    </row>
    <row r="166" spans="1:5" x14ac:dyDescent="0.35">
      <c r="A166" t="s">
        <v>265</v>
      </c>
      <c r="B166" t="s">
        <v>122</v>
      </c>
    </row>
    <row r="167" spans="1:5" x14ac:dyDescent="0.35">
      <c r="A167" t="s">
        <v>266</v>
      </c>
      <c r="B167" t="s">
        <v>29</v>
      </c>
    </row>
    <row r="168" spans="1:5" x14ac:dyDescent="0.35">
      <c r="A168" t="s">
        <v>267</v>
      </c>
      <c r="B168">
        <v>0.1</v>
      </c>
    </row>
    <row r="169" spans="1:5" x14ac:dyDescent="0.35">
      <c r="A169" t="s">
        <v>268</v>
      </c>
      <c r="B169" t="s">
        <v>110</v>
      </c>
      <c r="C169" t="s">
        <v>285</v>
      </c>
      <c r="D169" s="16" t="s">
        <v>271</v>
      </c>
    </row>
    <row r="170" spans="1:5" x14ac:dyDescent="0.35">
      <c r="A170" t="s">
        <v>272</v>
      </c>
      <c r="B170" t="s">
        <v>152</v>
      </c>
      <c r="C170" t="s">
        <v>248</v>
      </c>
      <c r="D170" t="s">
        <v>274</v>
      </c>
      <c r="E170" t="s">
        <v>334</v>
      </c>
    </row>
    <row r="171" spans="1:5" x14ac:dyDescent="0.35">
      <c r="A171" t="s">
        <v>275</v>
      </c>
    </row>
    <row r="173" spans="1:5" x14ac:dyDescent="0.35">
      <c r="A173" s="1" t="s">
        <v>276</v>
      </c>
    </row>
    <row r="174" spans="1:5" x14ac:dyDescent="0.35">
      <c r="A174" t="s">
        <v>234</v>
      </c>
      <c r="B174" t="s">
        <v>277</v>
      </c>
    </row>
    <row r="175" spans="1:5" x14ac:dyDescent="0.35">
      <c r="A175" t="s">
        <v>236</v>
      </c>
      <c r="B175" t="s">
        <v>237</v>
      </c>
      <c r="C175" t="s">
        <v>155</v>
      </c>
    </row>
    <row r="176" spans="1:5" x14ac:dyDescent="0.35">
      <c r="A176" t="s">
        <v>238</v>
      </c>
      <c r="B176" t="s">
        <v>278</v>
      </c>
    </row>
    <row r="177" spans="1:4" x14ac:dyDescent="0.35">
      <c r="A177" t="s">
        <v>241</v>
      </c>
      <c r="B177" t="s">
        <v>279</v>
      </c>
    </row>
    <row r="178" spans="1:4" x14ac:dyDescent="0.35">
      <c r="A178" t="s">
        <v>243</v>
      </c>
      <c r="B178" t="s">
        <v>335</v>
      </c>
    </row>
    <row r="179" spans="1:4" x14ac:dyDescent="0.35">
      <c r="A179" t="s">
        <v>245</v>
      </c>
      <c r="B179" t="s">
        <v>281</v>
      </c>
    </row>
    <row r="180" spans="1:4" x14ac:dyDescent="0.35">
      <c r="A180" t="s">
        <v>247</v>
      </c>
      <c r="B180" t="s">
        <v>139</v>
      </c>
    </row>
    <row r="181" spans="1:4" x14ac:dyDescent="0.35">
      <c r="A181" t="s">
        <v>252</v>
      </c>
      <c r="B181" t="s">
        <v>139</v>
      </c>
    </row>
    <row r="182" spans="1:4" x14ac:dyDescent="0.35">
      <c r="A182" t="s">
        <v>256</v>
      </c>
      <c r="B182" t="s">
        <v>282</v>
      </c>
      <c r="C182" t="s">
        <v>283</v>
      </c>
    </row>
    <row r="183" spans="1:4" x14ac:dyDescent="0.35">
      <c r="A183" t="s">
        <v>262</v>
      </c>
      <c r="B183" t="s">
        <v>284</v>
      </c>
    </row>
    <row r="184" spans="1:4" x14ac:dyDescent="0.35">
      <c r="A184" t="s">
        <v>264</v>
      </c>
      <c r="B184" t="s">
        <v>139</v>
      </c>
    </row>
    <row r="185" spans="1:4" x14ac:dyDescent="0.35">
      <c r="A185" t="s">
        <v>265</v>
      </c>
      <c r="B185" t="s">
        <v>147</v>
      </c>
    </row>
    <row r="186" spans="1:4" x14ac:dyDescent="0.35">
      <c r="A186" t="s">
        <v>266</v>
      </c>
      <c r="B186" t="s">
        <v>29</v>
      </c>
    </row>
    <row r="187" spans="1:4" x14ac:dyDescent="0.35">
      <c r="A187" t="s">
        <v>267</v>
      </c>
      <c r="B187">
        <v>0.1</v>
      </c>
    </row>
    <row r="188" spans="1:4" x14ac:dyDescent="0.35">
      <c r="A188" t="s">
        <v>268</v>
      </c>
      <c r="B188" t="s">
        <v>110</v>
      </c>
      <c r="C188" t="s">
        <v>285</v>
      </c>
      <c r="D188" s="16" t="s">
        <v>271</v>
      </c>
    </row>
    <row r="189" spans="1:4" x14ac:dyDescent="0.35">
      <c r="A189" t="s">
        <v>272</v>
      </c>
      <c r="B189" t="s">
        <v>154</v>
      </c>
      <c r="C189" t="s">
        <v>248</v>
      </c>
      <c r="D189" t="s">
        <v>274</v>
      </c>
    </row>
    <row r="190" spans="1:4" x14ac:dyDescent="0.35">
      <c r="A190" t="s">
        <v>275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F0"/>
  </sheetPr>
  <dimension ref="A4:F58"/>
  <sheetViews>
    <sheetView topLeftCell="A4" workbookViewId="0">
      <selection activeCell="B57" sqref="B57"/>
    </sheetView>
  </sheetViews>
  <sheetFormatPr defaultRowHeight="14.5" x14ac:dyDescent="0.35"/>
  <cols>
    <col min="1" max="1" width="19.7265625" customWidth="1"/>
  </cols>
  <sheetData>
    <row r="4" spans="1:2" x14ac:dyDescent="0.35">
      <c r="A4" s="1" t="s">
        <v>336</v>
      </c>
    </row>
    <row r="5" spans="1:2" x14ac:dyDescent="0.35">
      <c r="A5" t="s">
        <v>337</v>
      </c>
    </row>
    <row r="6" spans="1:2" x14ac:dyDescent="0.35">
      <c r="A6" t="s">
        <v>338</v>
      </c>
    </row>
    <row r="7" spans="1:2" x14ac:dyDescent="0.35">
      <c r="A7" t="s">
        <v>339</v>
      </c>
    </row>
    <row r="8" spans="1:2" x14ac:dyDescent="0.35">
      <c r="A8" t="s">
        <v>340</v>
      </c>
    </row>
    <row r="9" spans="1:2" x14ac:dyDescent="0.35">
      <c r="A9" t="s">
        <v>341</v>
      </c>
    </row>
    <row r="10" spans="1:2" x14ac:dyDescent="0.35">
      <c r="A10" t="s">
        <v>342</v>
      </c>
    </row>
    <row r="12" spans="1:2" x14ac:dyDescent="0.35">
      <c r="A12" s="1" t="s">
        <v>343</v>
      </c>
    </row>
    <row r="13" spans="1:2" x14ac:dyDescent="0.35">
      <c r="A13" t="s">
        <v>2</v>
      </c>
      <c r="B13" t="s">
        <v>344</v>
      </c>
    </row>
    <row r="14" spans="1:2" x14ac:dyDescent="0.35">
      <c r="A14" t="s">
        <v>45</v>
      </c>
      <c r="B14" t="s">
        <v>345</v>
      </c>
    </row>
    <row r="15" spans="1:2" x14ac:dyDescent="0.35">
      <c r="A15" t="s">
        <v>9</v>
      </c>
      <c r="B15" t="s">
        <v>346</v>
      </c>
    </row>
    <row r="16" spans="1:2" x14ac:dyDescent="0.35">
      <c r="A16" t="s">
        <v>10</v>
      </c>
      <c r="B16" t="s">
        <v>347</v>
      </c>
    </row>
    <row r="17" spans="1:2" x14ac:dyDescent="0.35">
      <c r="A17" t="s">
        <v>11</v>
      </c>
      <c r="B17" t="s">
        <v>348</v>
      </c>
    </row>
    <row r="18" spans="1:2" x14ac:dyDescent="0.35">
      <c r="A18" t="s">
        <v>349</v>
      </c>
      <c r="B18" t="s">
        <v>350</v>
      </c>
    </row>
    <row r="19" spans="1:2" x14ac:dyDescent="0.35">
      <c r="A19" t="s">
        <v>351</v>
      </c>
      <c r="B19" t="s">
        <v>352</v>
      </c>
    </row>
    <row r="20" spans="1:2" x14ac:dyDescent="0.35">
      <c r="A20" t="s">
        <v>5</v>
      </c>
      <c r="B20" t="s">
        <v>353</v>
      </c>
    </row>
    <row r="21" spans="1:2" x14ac:dyDescent="0.35">
      <c r="A21" t="s">
        <v>6</v>
      </c>
      <c r="B21" t="s">
        <v>354</v>
      </c>
    </row>
    <row r="22" spans="1:2" x14ac:dyDescent="0.35">
      <c r="A22" t="s">
        <v>1</v>
      </c>
      <c r="B22" t="s">
        <v>355</v>
      </c>
    </row>
    <row r="23" spans="1:2" x14ac:dyDescent="0.35">
      <c r="A23" t="s">
        <v>14</v>
      </c>
      <c r="B23" t="s">
        <v>356</v>
      </c>
    </row>
    <row r="24" spans="1:2" x14ac:dyDescent="0.35">
      <c r="A24" t="s">
        <v>15</v>
      </c>
      <c r="B24" t="s">
        <v>357</v>
      </c>
    </row>
    <row r="26" spans="1:2" x14ac:dyDescent="0.35">
      <c r="A26" s="1" t="s">
        <v>145</v>
      </c>
    </row>
    <row r="27" spans="1:2" x14ac:dyDescent="0.35">
      <c r="A27" t="s">
        <v>45</v>
      </c>
      <c r="B27" t="s">
        <v>345</v>
      </c>
    </row>
    <row r="28" spans="1:2" x14ac:dyDescent="0.35">
      <c r="A28" t="s">
        <v>2</v>
      </c>
      <c r="B28" t="s">
        <v>344</v>
      </c>
    </row>
    <row r="29" spans="1:2" x14ac:dyDescent="0.35">
      <c r="A29" t="s">
        <v>8</v>
      </c>
      <c r="B29" t="s">
        <v>358</v>
      </c>
    </row>
    <row r="30" spans="1:2" x14ac:dyDescent="0.35">
      <c r="A30" t="s">
        <v>46</v>
      </c>
      <c r="B30" t="s">
        <v>359</v>
      </c>
    </row>
    <row r="31" spans="1:2" x14ac:dyDescent="0.35">
      <c r="A31" t="s">
        <v>47</v>
      </c>
      <c r="B31" t="s">
        <v>360</v>
      </c>
    </row>
    <row r="32" spans="1:2" x14ac:dyDescent="0.35">
      <c r="A32" t="s">
        <v>48</v>
      </c>
      <c r="B32" t="s">
        <v>361</v>
      </c>
    </row>
    <row r="33" spans="1:6" x14ac:dyDescent="0.35">
      <c r="A33" t="s">
        <v>49</v>
      </c>
      <c r="B33" t="s">
        <v>362</v>
      </c>
    </row>
    <row r="34" spans="1:6" x14ac:dyDescent="0.35">
      <c r="A34" t="s">
        <v>50</v>
      </c>
      <c r="B34" t="s">
        <v>363</v>
      </c>
    </row>
    <row r="35" spans="1:6" x14ac:dyDescent="0.35">
      <c r="A35" t="s">
        <v>51</v>
      </c>
      <c r="B35" t="s">
        <v>364</v>
      </c>
    </row>
    <row r="36" spans="1:6" x14ac:dyDescent="0.35">
      <c r="A36" t="s">
        <v>52</v>
      </c>
      <c r="B36" t="s">
        <v>365</v>
      </c>
    </row>
    <row r="37" spans="1:6" x14ac:dyDescent="0.35">
      <c r="A37" t="s">
        <v>53</v>
      </c>
      <c r="B37" t="s">
        <v>366</v>
      </c>
    </row>
    <row r="38" spans="1:6" x14ac:dyDescent="0.35">
      <c r="A38" t="s">
        <v>54</v>
      </c>
      <c r="B38" t="s">
        <v>367</v>
      </c>
    </row>
    <row r="39" spans="1:6" x14ac:dyDescent="0.35">
      <c r="A39" t="s">
        <v>55</v>
      </c>
      <c r="B39" t="s">
        <v>368</v>
      </c>
    </row>
    <row r="40" spans="1:6" x14ac:dyDescent="0.35">
      <c r="A40" t="s">
        <v>56</v>
      </c>
      <c r="B40" t="s">
        <v>369</v>
      </c>
    </row>
    <row r="41" spans="1:6" x14ac:dyDescent="0.35">
      <c r="A41" t="s">
        <v>57</v>
      </c>
      <c r="B41" t="s">
        <v>370</v>
      </c>
    </row>
    <row r="42" spans="1:6" x14ac:dyDescent="0.35">
      <c r="A42" t="s">
        <v>58</v>
      </c>
      <c r="B42" t="s">
        <v>371</v>
      </c>
    </row>
    <row r="43" spans="1:6" x14ac:dyDescent="0.35">
      <c r="A43" t="s">
        <v>59</v>
      </c>
      <c r="B43" t="s">
        <v>372</v>
      </c>
    </row>
    <row r="44" spans="1:6" x14ac:dyDescent="0.35">
      <c r="A44" t="s">
        <v>60</v>
      </c>
      <c r="B44" t="s">
        <v>116</v>
      </c>
      <c r="C44" t="s">
        <v>125</v>
      </c>
      <c r="D44" t="s">
        <v>134</v>
      </c>
      <c r="E44" t="s">
        <v>140</v>
      </c>
      <c r="F44" t="s">
        <v>143</v>
      </c>
    </row>
    <row r="45" spans="1:6" x14ac:dyDescent="0.35">
      <c r="A45" t="s">
        <v>61</v>
      </c>
      <c r="B45" t="s">
        <v>373</v>
      </c>
    </row>
    <row r="46" spans="1:6" x14ac:dyDescent="0.35">
      <c r="A46" s="16" t="s">
        <v>62</v>
      </c>
      <c r="B46" t="s">
        <v>120</v>
      </c>
      <c r="C46" t="s">
        <v>130</v>
      </c>
      <c r="D46" t="s">
        <v>137</v>
      </c>
    </row>
    <row r="47" spans="1:6" x14ac:dyDescent="0.35">
      <c r="A47" t="s">
        <v>63</v>
      </c>
      <c r="B47" t="s">
        <v>374</v>
      </c>
    </row>
    <row r="49" spans="1:6" x14ac:dyDescent="0.35">
      <c r="A49" s="1" t="s">
        <v>375</v>
      </c>
    </row>
    <row r="50" spans="1:6" x14ac:dyDescent="0.35">
      <c r="A50" t="s">
        <v>103</v>
      </c>
      <c r="B50" t="s">
        <v>376</v>
      </c>
      <c r="C50" t="s">
        <v>377</v>
      </c>
    </row>
    <row r="51" spans="1:6" x14ac:dyDescent="0.35">
      <c r="A51" t="s">
        <v>104</v>
      </c>
      <c r="B51" t="s">
        <v>271</v>
      </c>
    </row>
    <row r="52" spans="1:6" x14ac:dyDescent="0.35">
      <c r="A52" t="s">
        <v>105</v>
      </c>
      <c r="B52" t="s">
        <v>378</v>
      </c>
    </row>
    <row r="54" spans="1:6" x14ac:dyDescent="0.35">
      <c r="A54" s="1" t="s">
        <v>156</v>
      </c>
    </row>
    <row r="55" spans="1:6" x14ac:dyDescent="0.35">
      <c r="A55" t="s">
        <v>63</v>
      </c>
      <c r="B55" t="s">
        <v>379</v>
      </c>
    </row>
    <row r="56" spans="1:6" x14ac:dyDescent="0.35">
      <c r="A56" s="16" t="s">
        <v>60</v>
      </c>
      <c r="B56" t="s">
        <v>116</v>
      </c>
      <c r="C56" t="s">
        <v>125</v>
      </c>
      <c r="D56" t="s">
        <v>134</v>
      </c>
      <c r="E56" t="s">
        <v>140</v>
      </c>
      <c r="F56" t="s">
        <v>143</v>
      </c>
    </row>
    <row r="57" spans="1:6" x14ac:dyDescent="0.35">
      <c r="A57" t="s">
        <v>86</v>
      </c>
      <c r="B57" t="s">
        <v>380</v>
      </c>
    </row>
    <row r="58" spans="1:6" x14ac:dyDescent="0.35">
      <c r="A58" t="s">
        <v>87</v>
      </c>
      <c r="B58" t="s">
        <v>381</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F0"/>
  </sheetPr>
  <dimension ref="A1:A25"/>
  <sheetViews>
    <sheetView workbookViewId="0">
      <selection activeCell="A23" sqref="A23"/>
    </sheetView>
  </sheetViews>
  <sheetFormatPr defaultRowHeight="14.5" x14ac:dyDescent="0.35"/>
  <sheetData>
    <row r="1" spans="1:1" x14ac:dyDescent="0.35">
      <c r="A1" s="1" t="s">
        <v>382</v>
      </c>
    </row>
    <row r="2" spans="1:1" x14ac:dyDescent="0.35">
      <c r="A2" s="1" t="s">
        <v>383</v>
      </c>
    </row>
    <row r="4" spans="1:1" x14ac:dyDescent="0.35">
      <c r="A4" s="1" t="s">
        <v>384</v>
      </c>
    </row>
    <row r="6" spans="1:1" x14ac:dyDescent="0.35">
      <c r="A6" t="s">
        <v>385</v>
      </c>
    </row>
    <row r="7" spans="1:1" x14ac:dyDescent="0.35">
      <c r="A7" t="s">
        <v>386</v>
      </c>
    </row>
    <row r="8" spans="1:1" x14ac:dyDescent="0.35">
      <c r="A8" t="s">
        <v>387</v>
      </c>
    </row>
    <row r="9" spans="1:1" x14ac:dyDescent="0.35">
      <c r="A9" t="s">
        <v>388</v>
      </c>
    </row>
    <row r="11" spans="1:1" x14ac:dyDescent="0.35">
      <c r="A11" s="1" t="s">
        <v>14</v>
      </c>
    </row>
    <row r="12" spans="1:1" x14ac:dyDescent="0.35">
      <c r="A12" t="s">
        <v>389</v>
      </c>
    </row>
    <row r="14" spans="1:1" x14ac:dyDescent="0.35">
      <c r="A14" s="1" t="s">
        <v>145</v>
      </c>
    </row>
    <row r="15" spans="1:1" x14ac:dyDescent="0.35">
      <c r="A15" t="s">
        <v>390</v>
      </c>
    </row>
    <row r="16" spans="1:1" x14ac:dyDescent="0.35">
      <c r="A16" s="1" t="s">
        <v>343</v>
      </c>
    </row>
    <row r="17" spans="1:1" x14ac:dyDescent="0.35">
      <c r="A17" t="s">
        <v>390</v>
      </c>
    </row>
    <row r="18" spans="1:1" x14ac:dyDescent="0.35">
      <c r="A18" s="1" t="s">
        <v>156</v>
      </c>
    </row>
    <row r="19" spans="1:1" x14ac:dyDescent="0.35">
      <c r="A19" t="s">
        <v>390</v>
      </c>
    </row>
    <row r="21" spans="1:1" x14ac:dyDescent="0.35">
      <c r="A21" s="1" t="s">
        <v>391</v>
      </c>
    </row>
    <row r="23" spans="1:1" x14ac:dyDescent="0.35">
      <c r="A23" t="s">
        <v>392</v>
      </c>
    </row>
    <row r="24" spans="1:1" x14ac:dyDescent="0.35">
      <c r="A24" t="s">
        <v>393</v>
      </c>
    </row>
    <row r="25" spans="1:1" x14ac:dyDescent="0.35">
      <c r="A25" t="s">
        <v>394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A24"/>
  <sheetViews>
    <sheetView workbookViewId="0">
      <selection activeCell="A18" sqref="A18"/>
    </sheetView>
  </sheetViews>
  <sheetFormatPr defaultRowHeight="14.5" x14ac:dyDescent="0.35"/>
  <sheetData>
    <row r="1" spans="1:1" x14ac:dyDescent="0.35">
      <c r="A1" s="1" t="s">
        <v>395</v>
      </c>
    </row>
    <row r="2" spans="1:1" x14ac:dyDescent="0.35">
      <c r="A2" t="s">
        <v>396</v>
      </c>
    </row>
    <row r="3" spans="1:1" x14ac:dyDescent="0.35">
      <c r="A3" t="s">
        <v>397</v>
      </c>
    </row>
    <row r="4" spans="1:1" x14ac:dyDescent="0.35">
      <c r="A4" t="s">
        <v>398</v>
      </c>
    </row>
    <row r="5" spans="1:1" x14ac:dyDescent="0.35">
      <c r="A5" t="s">
        <v>399</v>
      </c>
    </row>
    <row r="6" spans="1:1" x14ac:dyDescent="0.35">
      <c r="A6" t="s">
        <v>400</v>
      </c>
    </row>
    <row r="8" spans="1:1" x14ac:dyDescent="0.35">
      <c r="A8" s="1" t="s">
        <v>401</v>
      </c>
    </row>
    <row r="9" spans="1:1" x14ac:dyDescent="0.35">
      <c r="A9" t="s">
        <v>402</v>
      </c>
    </row>
    <row r="10" spans="1:1" x14ac:dyDescent="0.35">
      <c r="A10" t="s">
        <v>403</v>
      </c>
    </row>
    <row r="11" spans="1:1" x14ac:dyDescent="0.35">
      <c r="A11" t="s">
        <v>404</v>
      </c>
    </row>
    <row r="12" spans="1:1" x14ac:dyDescent="0.35">
      <c r="A12" t="s">
        <v>405</v>
      </c>
    </row>
    <row r="13" spans="1:1" x14ac:dyDescent="0.35">
      <c r="A13" t="s">
        <v>406</v>
      </c>
    </row>
    <row r="14" spans="1:1" x14ac:dyDescent="0.35">
      <c r="A14" t="s">
        <v>407</v>
      </c>
    </row>
    <row r="15" spans="1:1" x14ac:dyDescent="0.35">
      <c r="A15" t="s">
        <v>408</v>
      </c>
    </row>
    <row r="16" spans="1:1" x14ac:dyDescent="0.35">
      <c r="A16" t="s">
        <v>409</v>
      </c>
    </row>
    <row r="17" spans="1:1" x14ac:dyDescent="0.35">
      <c r="A17" t="s">
        <v>410</v>
      </c>
    </row>
    <row r="18" spans="1:1" x14ac:dyDescent="0.35">
      <c r="A18" t="s">
        <v>411</v>
      </c>
    </row>
    <row r="19" spans="1:1" x14ac:dyDescent="0.35">
      <c r="A19" t="s">
        <v>412</v>
      </c>
    </row>
    <row r="21" spans="1:1" x14ac:dyDescent="0.35">
      <c r="A21" s="1" t="s">
        <v>413</v>
      </c>
    </row>
    <row r="22" spans="1:1" x14ac:dyDescent="0.35">
      <c r="A22" t="s">
        <v>414</v>
      </c>
    </row>
    <row r="23" spans="1:1" x14ac:dyDescent="0.35">
      <c r="A23" t="s">
        <v>415</v>
      </c>
    </row>
    <row r="24" spans="1:1" x14ac:dyDescent="0.35">
      <c r="A24" t="s">
        <v>416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417</v>
      </c>
    </row>
    <row r="2" spans="1:1" x14ac:dyDescent="0.35">
      <c r="A2" t="s">
        <v>418</v>
      </c>
    </row>
    <row r="3" spans="1:1" x14ac:dyDescent="0.35">
      <c r="A3" t="s">
        <v>419</v>
      </c>
    </row>
    <row r="4" spans="1:1" x14ac:dyDescent="0.35">
      <c r="A4" t="s">
        <v>420</v>
      </c>
    </row>
    <row r="5" spans="1:1" x14ac:dyDescent="0.35">
      <c r="A5" t="s">
        <v>421</v>
      </c>
    </row>
    <row r="6" spans="1:1" x14ac:dyDescent="0.35">
      <c r="A6" t="s">
        <v>422</v>
      </c>
    </row>
    <row r="7" spans="1:1" x14ac:dyDescent="0.35">
      <c r="A7" s="1" t="s">
        <v>423</v>
      </c>
    </row>
    <row r="8" spans="1:1" x14ac:dyDescent="0.35">
      <c r="A8" t="s">
        <v>424</v>
      </c>
    </row>
    <row r="9" spans="1:1" x14ac:dyDescent="0.35">
      <c r="A9" s="1" t="s">
        <v>145</v>
      </c>
    </row>
    <row r="10" spans="1:1" x14ac:dyDescent="0.35">
      <c r="A10" t="s">
        <v>425</v>
      </c>
    </row>
    <row r="11" spans="1:1" x14ac:dyDescent="0.35">
      <c r="A11" s="1" t="s">
        <v>426</v>
      </c>
    </row>
    <row r="12" spans="1:1" x14ac:dyDescent="0.35">
      <c r="A12" t="s">
        <v>427</v>
      </c>
    </row>
    <row r="13" spans="1:1" x14ac:dyDescent="0.35">
      <c r="A13" s="1" t="s">
        <v>428</v>
      </c>
    </row>
    <row r="14" spans="1:1" x14ac:dyDescent="0.35">
      <c r="A14" t="s">
        <v>429</v>
      </c>
    </row>
    <row r="15" spans="1:1" x14ac:dyDescent="0.35">
      <c r="A15" s="1" t="s">
        <v>343</v>
      </c>
    </row>
    <row r="16" spans="1:1" x14ac:dyDescent="0.35">
      <c r="A16" t="s">
        <v>430</v>
      </c>
    </row>
    <row r="17" spans="1:1" x14ac:dyDescent="0.35">
      <c r="A17" s="1" t="s">
        <v>156</v>
      </c>
    </row>
    <row r="18" spans="1:1" x14ac:dyDescent="0.35">
      <c r="A18" t="s">
        <v>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Improvements</vt:lpstr>
      <vt:lpstr>Weekly One Pager</vt:lpstr>
      <vt:lpstr>Journal</vt:lpstr>
      <vt:lpstr>Ideas</vt:lpstr>
      <vt:lpstr>Trade Log</vt:lpstr>
      <vt:lpstr>Retro</vt:lpstr>
      <vt:lpstr>Retro BI</vt:lpstr>
      <vt:lpstr>Data Tags</vt:lpstr>
      <vt:lpstr>Dropdown List Tags</vt:lpstr>
      <vt:lpstr>TraderSync Export</vt:lpstr>
      <vt:lpstr>Setup_Data</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2024-06-03T13:49:48Z</dcterms:modified>
</cp:coreProperties>
</file>