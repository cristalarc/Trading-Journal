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mc:AlternateContent xmlns:mc="http://schemas.openxmlformats.org/markup-compatibility/2006">
    <mc:Choice Requires="x15">
      <x15ac:absPath xmlns:x15ac="http://schemas.microsoft.com/office/spreadsheetml/2010/11/ac" url="https://d.docs.live.net/261a4915364edc4c/Coding/Projects/Trading Journal/Templates/"/>
    </mc:Choice>
  </mc:AlternateContent>
  <xr:revisionPtr revIDLastSave="721" documentId="11_F25DC773A252ABDACC10481179D95E825BDE58EE" xr6:coauthVersionLast="47" xr6:coauthVersionMax="47" xr10:uidLastSave="{123DD557-D6FE-460F-96DE-7547D1F3AA0C}"/>
  <bookViews>
    <workbookView xWindow="57480" yWindow="-120" windowWidth="29040" windowHeight="15720" activeTab="2" xr2:uid="{00000000-000D-0000-FFFF-FFFF00000000}"/>
  </bookViews>
  <sheets>
    <sheet name="Improvements" sheetId="13" r:id="rId1"/>
    <sheet name="Weekly One Pager" sheetId="6" r:id="rId2"/>
    <sheet name="Journal" sheetId="5" r:id="rId3"/>
    <sheet name="Ideas" sheetId="2" r:id="rId4"/>
    <sheet name="Trade Log" sheetId="7" r:id="rId5"/>
    <sheet name="Retro" sheetId="3" r:id="rId6"/>
    <sheet name="Retro BI" sheetId="12" r:id="rId7"/>
    <sheet name="Data Tags" sheetId="10" r:id="rId8"/>
    <sheet name="TraderSync Export" sheetId="8" r:id="rId9"/>
    <sheet name="Setup_Data" sheetId="11" r:id="rId10"/>
    <sheet name="Definitions" sheetId="9" r:id="rId11"/>
    <sheet name="To Do" sheetId="4" r:id="rId12"/>
    <sheet name="Process" sheetId="14" r:id="rId13"/>
    <sheet name="Summary" sheetId="1"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7" l="1"/>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2" i="7"/>
  <c r="G2" i="2"/>
  <c r="O3" i="2"/>
  <c r="P3" i="2"/>
  <c r="O4" i="2"/>
  <c r="P4" i="2"/>
  <c r="O5" i="2"/>
  <c r="P5" i="2"/>
  <c r="O6" i="2"/>
  <c r="P6" i="2"/>
  <c r="O7" i="2"/>
  <c r="P7" i="2"/>
  <c r="O8" i="2"/>
  <c r="P8" i="2"/>
  <c r="O9" i="2"/>
  <c r="P9" i="2"/>
  <c r="O10" i="2"/>
  <c r="P10" i="2"/>
  <c r="O11" i="2"/>
  <c r="P11" i="2"/>
  <c r="G3" i="2"/>
  <c r="G4" i="2"/>
  <c r="G5" i="2"/>
  <c r="G6" i="2"/>
  <c r="G7" i="2"/>
  <c r="G8" i="2"/>
  <c r="G9" i="2"/>
  <c r="G10" i="2"/>
  <c r="G11" i="2"/>
  <c r="O2" i="2"/>
  <c r="P2" i="2"/>
  <c r="P57" i="2"/>
  <c r="O57" i="2"/>
  <c r="G57" i="2"/>
  <c r="P56" i="2"/>
  <c r="O56" i="2"/>
  <c r="G56" i="2"/>
  <c r="P55" i="2"/>
  <c r="O55" i="2"/>
  <c r="G55" i="2"/>
  <c r="P54" i="2"/>
  <c r="O54" i="2"/>
  <c r="G54" i="2"/>
  <c r="P53" i="2"/>
  <c r="O53" i="2"/>
  <c r="G53" i="2"/>
  <c r="P52" i="2"/>
  <c r="O52" i="2"/>
  <c r="G52" i="2"/>
  <c r="P51" i="2"/>
  <c r="O51" i="2"/>
  <c r="G51" i="2"/>
  <c r="P50" i="2"/>
  <c r="O50" i="2"/>
  <c r="G50" i="2"/>
  <c r="P49" i="2"/>
  <c r="O49" i="2"/>
  <c r="G49" i="2"/>
  <c r="P48" i="2"/>
  <c r="O48" i="2"/>
  <c r="G48" i="2"/>
  <c r="P47" i="2"/>
  <c r="O47" i="2"/>
  <c r="G47" i="2"/>
  <c r="P46" i="2"/>
  <c r="O46" i="2"/>
  <c r="G46" i="2"/>
  <c r="P45" i="2"/>
  <c r="O45" i="2"/>
  <c r="G45" i="2"/>
  <c r="P44" i="2"/>
  <c r="O44" i="2"/>
  <c r="G44" i="2"/>
  <c r="P43" i="2"/>
  <c r="O43" i="2"/>
  <c r="G43" i="2"/>
  <c r="P42" i="2"/>
  <c r="O42" i="2"/>
  <c r="G42" i="2"/>
  <c r="P41" i="2"/>
  <c r="O41" i="2"/>
  <c r="G41" i="2"/>
  <c r="P40" i="2"/>
  <c r="O40" i="2"/>
  <c r="G40" i="2"/>
  <c r="P39" i="2"/>
  <c r="O39" i="2"/>
  <c r="G39" i="2"/>
  <c r="P38" i="2"/>
  <c r="O38" i="2"/>
  <c r="G38" i="2"/>
  <c r="P37" i="2"/>
  <c r="O37" i="2"/>
  <c r="G37" i="2"/>
  <c r="P36" i="2"/>
  <c r="O36" i="2"/>
  <c r="G36" i="2"/>
  <c r="P35" i="2"/>
  <c r="O35" i="2"/>
  <c r="G35" i="2"/>
  <c r="P34" i="2"/>
  <c r="O34" i="2"/>
  <c r="G34" i="2"/>
  <c r="P33" i="2"/>
  <c r="O33" i="2"/>
  <c r="G33" i="2"/>
  <c r="P32" i="2"/>
  <c r="O32" i="2"/>
  <c r="G32" i="2"/>
  <c r="P31" i="2"/>
  <c r="O31" i="2"/>
  <c r="G31" i="2"/>
  <c r="P30" i="2"/>
  <c r="O30" i="2"/>
  <c r="G30" i="2"/>
  <c r="P29" i="2"/>
  <c r="O29" i="2"/>
  <c r="G29" i="2"/>
  <c r="P28" i="2"/>
  <c r="O28" i="2"/>
  <c r="G28" i="2"/>
  <c r="P27" i="2"/>
  <c r="O27" i="2"/>
  <c r="G27" i="2"/>
  <c r="P26" i="2"/>
  <c r="O26" i="2"/>
  <c r="G26" i="2"/>
  <c r="P25" i="2"/>
  <c r="O25" i="2"/>
  <c r="G25" i="2"/>
  <c r="P24" i="2"/>
  <c r="O24" i="2"/>
  <c r="G24" i="2"/>
  <c r="P23" i="2"/>
  <c r="O23" i="2"/>
  <c r="G23" i="2"/>
  <c r="P22" i="2"/>
  <c r="O22" i="2"/>
  <c r="G22" i="2"/>
  <c r="P21" i="2"/>
  <c r="O21" i="2"/>
  <c r="G21" i="2"/>
  <c r="P20" i="2"/>
  <c r="O20" i="2"/>
  <c r="G20" i="2"/>
  <c r="P19" i="2"/>
  <c r="O19" i="2"/>
  <c r="G19" i="2"/>
  <c r="P18" i="2"/>
  <c r="O18" i="2"/>
  <c r="G18" i="2"/>
  <c r="P17" i="2"/>
  <c r="O17" i="2"/>
  <c r="G17" i="2"/>
  <c r="P16" i="2"/>
  <c r="O16" i="2"/>
  <c r="G16" i="2"/>
  <c r="P15" i="2"/>
  <c r="O15" i="2"/>
  <c r="G15" i="2"/>
  <c r="P14" i="2"/>
  <c r="O14" i="2"/>
  <c r="G14" i="2"/>
  <c r="P13" i="2"/>
  <c r="O13" i="2"/>
  <c r="G13" i="2"/>
  <c r="P12" i="2"/>
  <c r="O12" i="2"/>
  <c r="G12" i="2"/>
</calcChain>
</file>

<file path=xl/sharedStrings.xml><?xml version="1.0" encoding="utf-8"?>
<sst xmlns="http://schemas.openxmlformats.org/spreadsheetml/2006/main" count="921" uniqueCount="382">
  <si>
    <t>Ideas</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</si>
  <si>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</si>
  <si>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</si>
  <si>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</si>
  <si>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</si>
  <si>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Stock Journal</t>
  </si>
  <si>
    <t>A journal where I can put a stock information accross time. What pattern is governing, how it's behaving, important levels, etc. A collection of all my notes every time I've analyzed the stock.</t>
  </si>
  <si>
    <t>Ticker</t>
  </si>
  <si>
    <t>Date</t>
  </si>
  <si>
    <t>Current Price</t>
  </si>
  <si>
    <t>Target Entry</t>
  </si>
  <si>
    <t>Target Price</t>
  </si>
  <si>
    <t>Stop</t>
  </si>
  <si>
    <t>RR Ratio</t>
  </si>
  <si>
    <t>Type</t>
  </si>
  <si>
    <t>Market</t>
  </si>
  <si>
    <t>Relative</t>
  </si>
  <si>
    <t>1hr Trend</t>
  </si>
  <si>
    <t>1hr Cloud</t>
  </si>
  <si>
    <t>Intended Position</t>
  </si>
  <si>
    <t>To win Money</t>
  </si>
  <si>
    <t>Money Risk</t>
  </si>
  <si>
    <t>Notes</t>
  </si>
  <si>
    <t>Sourced</t>
  </si>
  <si>
    <t>Quality</t>
  </si>
  <si>
    <t>Filter</t>
  </si>
  <si>
    <t>Bearish</t>
  </si>
  <si>
    <t>Strategy</t>
  </si>
  <si>
    <t>Trade ID</t>
  </si>
  <si>
    <t>Restrospective</t>
  </si>
  <si>
    <t>Needs to pull all order information just by matching Order ID</t>
  </si>
  <si>
    <t>Entry Price</t>
  </si>
  <si>
    <t>Exit Feeling</t>
  </si>
  <si>
    <t>Sentiment</t>
  </si>
  <si>
    <t>Commentary</t>
  </si>
  <si>
    <t>Technical</t>
  </si>
  <si>
    <t>Fundamental</t>
  </si>
  <si>
    <t>Governing Pattern</t>
  </si>
  <si>
    <t>KPI #1</t>
  </si>
  <si>
    <t>KPI #2</t>
  </si>
  <si>
    <t>Document Scope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</si>
  <si>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</si>
  <si>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</si>
  <si>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</si>
  <si>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This document's purpose is to keep track of the trades and analysis carried on a weekly basis.</t>
  </si>
  <si>
    <t>Trade Log</t>
  </si>
  <si>
    <t>This document will record the weekly market one page summaries so we can record an evolution of these analyses. The current one pager is shown as quick notes in OneNote.</t>
  </si>
  <si>
    <t>Shows the expected market trend for the week and day. Shows most attractive stocks to trade today and a quick why, as well as key levels to watch.</t>
  </si>
  <si>
    <t>Key Support Level</t>
  </si>
  <si>
    <t>Key Resistance Level</t>
  </si>
  <si>
    <t>Sentiment Type</t>
  </si>
  <si>
    <t>Date in which commentary was recorded.</t>
  </si>
  <si>
    <t>Stock ticker.</t>
  </si>
  <si>
    <t>Direction</t>
  </si>
  <si>
    <t>Direction of the stock based off D chart direction indicator.</t>
  </si>
  <si>
    <t>Overall personal direction sentiment of the stock.</t>
  </si>
  <si>
    <t>14 day Retro</t>
  </si>
  <si>
    <t>Is the sentiment based on technical analysis or on fundamentals.</t>
  </si>
  <si>
    <t>14 day retrospective on the analysis. Win = would have made money trading my sentiment. Lose = opposite. Mixed = there was money inside the 14D period. NA does not apply to fundamental Sentiment Type.</t>
  </si>
  <si>
    <t>Which technical pattern is currently governing the stock. Keep it wo W, D and H charts.</t>
  </si>
  <si>
    <t>Governing Patterns</t>
  </si>
  <si>
    <t>Current Daily support level.</t>
  </si>
  <si>
    <t>Current Daily resistance level.</t>
  </si>
  <si>
    <t>Stock commentary for the analysis.</t>
  </si>
  <si>
    <t>14D Retro</t>
  </si>
  <si>
    <t>Basecamp sheet</t>
  </si>
  <si>
    <t>Journal</t>
  </si>
  <si>
    <t>Direction/Sentiment</t>
  </si>
  <si>
    <t>Bullish</t>
  </si>
  <si>
    <t>Win</t>
  </si>
  <si>
    <t>Lose</t>
  </si>
  <si>
    <t>Mixed</t>
  </si>
  <si>
    <t>NA</t>
  </si>
  <si>
    <t>HnS</t>
  </si>
  <si>
    <t>Inverted HnS</t>
  </si>
  <si>
    <t>Bullish Pennant</t>
  </si>
  <si>
    <t>Bearish Pennant</t>
  </si>
  <si>
    <t>Double Top</t>
  </si>
  <si>
    <t>Triple Top</t>
  </si>
  <si>
    <t>Double Bottom</t>
  </si>
  <si>
    <t>Triple Bottom</t>
  </si>
  <si>
    <t>Cup</t>
  </si>
  <si>
    <t>Inverted Cup</t>
  </si>
  <si>
    <t>Auto Algo Line Daily</t>
  </si>
  <si>
    <t>Done</t>
  </si>
  <si>
    <t>Define the daily process and add to MS ToDo</t>
  </si>
  <si>
    <t>Expected trade entry price</t>
  </si>
  <si>
    <t>Current stock price</t>
  </si>
  <si>
    <t>Expected target exit price</t>
  </si>
  <si>
    <t>Expected stop loss</t>
  </si>
  <si>
    <t>Risk reward ratio for the trade</t>
  </si>
  <si>
    <t>Long or Short</t>
  </si>
  <si>
    <t>Trade ID for cross sheet lookup purposes</t>
  </si>
  <si>
    <t>Name of the setup or strategy</t>
  </si>
  <si>
    <t>Quality as defined in the strategy data</t>
  </si>
  <si>
    <t>Value of RSI Trend indicator in the Strategy's relevant timeframe</t>
  </si>
  <si>
    <t>Value of RSI Trend indicator in the hourly chart</t>
  </si>
  <si>
    <t>Value of relativenes in the strategy's relevant timeframe</t>
  </si>
  <si>
    <t>Above or below the 34-50 1 hour cloud</t>
  </si>
  <si>
    <t>Intended stock quantity for this idea</t>
  </si>
  <si>
    <t>Calculated to win money</t>
  </si>
  <si>
    <t>Calculated money at risk of losing</t>
  </si>
  <si>
    <t>Open notes</t>
  </si>
  <si>
    <t>Watchlist</t>
  </si>
  <si>
    <t>MACD Scanner</t>
  </si>
  <si>
    <t>VTR Scanner</t>
  </si>
  <si>
    <t>Relative Daily scanner</t>
  </si>
  <si>
    <t>BTD Scanner</t>
  </si>
  <si>
    <t>Open</t>
  </si>
  <si>
    <t>Taken</t>
  </si>
  <si>
    <t>Expired</t>
  </si>
  <si>
    <t>Status</t>
  </si>
  <si>
    <t>Symbol</t>
  </si>
  <si>
    <t>Size</t>
  </si>
  <si>
    <t>Open Date</t>
  </si>
  <si>
    <t>Close Date</t>
  </si>
  <si>
    <t>Open Time</t>
  </si>
  <si>
    <t>Close Time</t>
  </si>
  <si>
    <t>Setups</t>
  </si>
  <si>
    <t>Mistakes</t>
  </si>
  <si>
    <t>Exit Price</t>
  </si>
  <si>
    <t>Return $</t>
  </si>
  <si>
    <t>Return %</t>
  </si>
  <si>
    <t>Avg Buy</t>
  </si>
  <si>
    <t>Avg Sell</t>
  </si>
  <si>
    <t>Net Return</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</si>
  <si>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</si>
  <si>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</si>
  <si>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</si>
  <si>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</si>
  <si>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</si>
  <si>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</si>
  <si>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</si>
  <si>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</si>
  <si>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</si>
  <si>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</si>
  <si>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</si>
  <si>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</si>
  <si>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</si>
  <si>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</si>
  <si>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</si>
  <si>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</si>
  <si>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</si>
  <si>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</si>
  <si>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MAE</t>
  </si>
  <si>
    <t>MFE</t>
  </si>
  <si>
    <t>Expectancy</t>
  </si>
  <si>
    <t>R-Multiple</t>
  </si>
  <si>
    <t>Best Exit $</t>
  </si>
  <si>
    <t>Best Exit %</t>
  </si>
  <si>
    <t>WIN</t>
  </si>
  <si>
    <t>CELH</t>
  </si>
  <si>
    <t>SHARE</t>
  </si>
  <si>
    <t>LONG</t>
  </si>
  <si>
    <t>SINGLE</t>
  </si>
  <si>
    <t>21d</t>
  </si>
  <si>
    <t>ROTH IRA</t>
  </si>
  <si>
    <t>Private</t>
  </si>
  <si>
    <t>LOSS</t>
  </si>
  <si>
    <t>TSLA</t>
  </si>
  <si>
    <t>25d</t>
  </si>
  <si>
    <t>OPEN</t>
  </si>
  <si>
    <t>0 sec</t>
  </si>
  <si>
    <t>Chase Retirement</t>
  </si>
  <si>
    <t>AAPL</t>
  </si>
  <si>
    <t>U</t>
  </si>
  <si>
    <t>19 sec</t>
  </si>
  <si>
    <t>SPX</t>
  </si>
  <si>
    <t>OPTION</t>
  </si>
  <si>
    <t>21 sec</t>
  </si>
  <si>
    <t>Day Trading</t>
  </si>
  <si>
    <t>Rich SPY</t>
  </si>
  <si>
    <t>01:49 min</t>
  </si>
  <si>
    <t>Fumbled</t>
  </si>
  <si>
    <t>04:39 min</t>
  </si>
  <si>
    <t>TCHI</t>
  </si>
  <si>
    <t>Long</t>
  </si>
  <si>
    <t>Rich SPY, Waited</t>
  </si>
  <si>
    <t>Setup 1</t>
  </si>
  <si>
    <t>Setup 2</t>
  </si>
  <si>
    <t>Setup 3</t>
  </si>
  <si>
    <t>Setup 4</t>
  </si>
  <si>
    <t>Setup 5</t>
  </si>
  <si>
    <t>Setup 6</t>
  </si>
  <si>
    <t>Mistakes 1</t>
  </si>
  <si>
    <t>Mistakes 2</t>
  </si>
  <si>
    <t>Mistakes 3</t>
  </si>
  <si>
    <t>Mistakes 4</t>
  </si>
  <si>
    <t>Mistakes 5</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</si>
  <si>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</si>
  <si>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</si>
  <si>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</si>
  <si>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</si>
  <si>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</si>
  <si>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This log will keep track of all the trades we carry, including entry price, exit, tags and strategies which will be used for retrospectives. Based off Tradersyncs Export. Only fully executed trades will be included.</t>
  </si>
  <si>
    <t>Net Return %</t>
  </si>
  <si>
    <t>Start by sourcing from the Trade Log</t>
  </si>
  <si>
    <t>Green tabs: Data feeder tabs.</t>
  </si>
  <si>
    <t>Blue tabs: Ancilliary information.</t>
  </si>
  <si>
    <t>Short</t>
  </si>
  <si>
    <t>Rich SPY Trading</t>
  </si>
  <si>
    <t>Cloud System Swings 1hr</t>
  </si>
  <si>
    <t>Cloud System Swings Daily</t>
  </si>
  <si>
    <t>Cloud System DT</t>
  </si>
  <si>
    <t>Cloud System DT Variant</t>
  </si>
  <si>
    <t>Strong Swings</t>
  </si>
  <si>
    <t>Strong Level Quick Trades</t>
  </si>
  <si>
    <t>Trend 10 min Trades</t>
  </si>
  <si>
    <t>Zack Morris SPY trades</t>
  </si>
  <si>
    <t>Rich Stock Swings</t>
  </si>
  <si>
    <t>Above</t>
  </si>
  <si>
    <t>Below</t>
  </si>
  <si>
    <t>LQ</t>
  </si>
  <si>
    <t>MQ</t>
  </si>
  <si>
    <t>HQ</t>
  </si>
  <si>
    <t>A sheet that when I open this file tells me what needs to be done.</t>
  </si>
  <si>
    <t>Look for Retro needs in the setup and develop this sheet</t>
  </si>
  <si>
    <t>Weekly One Pager</t>
  </si>
  <si>
    <t>Make it based on Ripster's and your OneNotes</t>
  </si>
  <si>
    <t>Make formula that adds however many days to the Date column</t>
  </si>
  <si>
    <t>Value #1</t>
  </si>
  <si>
    <t>Value #2</t>
  </si>
  <si>
    <t>Value #3</t>
  </si>
  <si>
    <t>Value #4</t>
  </si>
  <si>
    <t>Value #5</t>
  </si>
  <si>
    <t>Value #6</t>
  </si>
  <si>
    <t>Value #7</t>
  </si>
  <si>
    <t>Value #8</t>
  </si>
  <si>
    <t>Value #9</t>
  </si>
  <si>
    <t>Sourcing</t>
  </si>
  <si>
    <t>Relative Scanner</t>
  </si>
  <si>
    <t>Recording System</t>
  </si>
  <si>
    <t>TraderSync</t>
  </si>
  <si>
    <t>Enter Criteria</t>
  </si>
  <si>
    <t>Hourly chart.</t>
  </si>
  <si>
    <t>Enter when the candle close crosses the 34-50 cloud.</t>
  </si>
  <si>
    <t>Early Entry Criteria</t>
  </si>
  <si>
    <t>Enter as the candle is breaking the cloud.</t>
  </si>
  <si>
    <t>Exit Criteria</t>
  </si>
  <si>
    <t>Close breaks the 5-12 cloud.</t>
  </si>
  <si>
    <t>Confirmation Criteria</t>
  </si>
  <si>
    <t>Confirmation is defined as a close cross the cloud.</t>
  </si>
  <si>
    <t>Quality Considerations</t>
  </si>
  <si>
    <t>Confirmation</t>
  </si>
  <si>
    <t>SPY RSI H trend</t>
  </si>
  <si>
    <t>Favorable Relativeness</t>
  </si>
  <si>
    <t>RR</t>
  </si>
  <si>
    <t>Quality Criteria</t>
  </si>
  <si>
    <t>HQ= confirmation + 2</t>
  </si>
  <si>
    <t>MQ= confirmation + 1</t>
  </si>
  <si>
    <t>LQ= early + 1</t>
  </si>
  <si>
    <t>Kaizen</t>
  </si>
  <si>
    <t>Size of the trade will need to be improved</t>
  </si>
  <si>
    <t>Options versus stock will need definition</t>
  </si>
  <si>
    <t>Early entries worth it or not</t>
  </si>
  <si>
    <t>Come up with an RR value</t>
  </si>
  <si>
    <t>Correlation of confirmation bias</t>
  </si>
  <si>
    <t>Execution Review Criteria</t>
  </si>
  <si>
    <t xml:space="preserve">Exited as defined in the criteria or not. Max gain analysis. </t>
  </si>
  <si>
    <t>Backtesting</t>
  </si>
  <si>
    <t>Yes</t>
  </si>
  <si>
    <t>Retrospective Period</t>
  </si>
  <si>
    <t>D+3</t>
  </si>
  <si>
    <t>Exit Feeling Record</t>
  </si>
  <si>
    <t>Current Version</t>
  </si>
  <si>
    <t>Scoring KPI of Strategy</t>
  </si>
  <si>
    <t>Profit factor</t>
  </si>
  <si>
    <t>Avrg Return</t>
  </si>
  <si>
    <t>Best Exit</t>
  </si>
  <si>
    <t>Tagging System</t>
  </si>
  <si>
    <t>CSH</t>
  </si>
  <si>
    <t>Relativeness</t>
  </si>
  <si>
    <t>Execution</t>
  </si>
  <si>
    <t>TODO</t>
  </si>
  <si>
    <t>Rich Discord</t>
  </si>
  <si>
    <t>Matching price to call</t>
  </si>
  <si>
    <t>Cheaper price than Rich</t>
  </si>
  <si>
    <t>30% profit</t>
  </si>
  <si>
    <t>Seeing Rich's call.</t>
  </si>
  <si>
    <t>Improving enter criteria (my view over Rich's)</t>
  </si>
  <si>
    <t>Improving exit criteria (profit margin, wait for Rich, $ amount or %)</t>
  </si>
  <si>
    <t>My exit versus Rich's measured in Avg Return.</t>
  </si>
  <si>
    <t>EOD</t>
  </si>
  <si>
    <t>Profit Factor</t>
  </si>
  <si>
    <t>Avg Return</t>
  </si>
  <si>
    <t>Daily chart.</t>
  </si>
  <si>
    <t>SPY RSI D trend</t>
  </si>
  <si>
    <t>Exited as defined in the criteria or not.</t>
  </si>
  <si>
    <t xml:space="preserve">Max gain analysis. </t>
  </si>
  <si>
    <t>CSD</t>
  </si>
  <si>
    <t>Momentum Scanner</t>
  </si>
  <si>
    <t>10m chart</t>
  </si>
  <si>
    <t>CSDT</t>
  </si>
  <si>
    <t>Enter when the 34-50 clouds crosses a pivot line.</t>
  </si>
  <si>
    <t>TBD</t>
  </si>
  <si>
    <t>Confirmation is defined as 34-50 cross of a pivot point.</t>
  </si>
  <si>
    <t>Determine which pivot points are best.</t>
  </si>
  <si>
    <t>Exited as defined in the criteria or not</t>
  </si>
  <si>
    <t>CSDTV</t>
  </si>
  <si>
    <t>Pivot Point</t>
  </si>
  <si>
    <t>Alerts</t>
  </si>
  <si>
    <t>D chart</t>
  </si>
  <si>
    <t>Enter when confirmation happens at a strong level</t>
  </si>
  <si>
    <t>Enter as soon as level is reached</t>
  </si>
  <si>
    <t>RR level is met</t>
  </si>
  <si>
    <t>Confirmation is defined as resolution of outcome after touching the line. Need to work more on this definition.</t>
  </si>
  <si>
    <t>Reversal vs Continuation analysis</t>
  </si>
  <si>
    <t>Optimization of taking profits along the way</t>
  </si>
  <si>
    <t>EOW</t>
  </si>
  <si>
    <t>SW</t>
  </si>
  <si>
    <t>Need backtesting to check what a confirmation has looked like in the past.</t>
  </si>
  <si>
    <t>10m Chart</t>
  </si>
  <si>
    <t>Enter when the first candle closes favorable (big wick, reversal close), join the reversal.</t>
  </si>
  <si>
    <t>Confirmation is defined as a candle closing below previous candle low</t>
  </si>
  <si>
    <t>Retested is defined as pivot point failed a second a time</t>
  </si>
  <si>
    <t>Retested</t>
  </si>
  <si>
    <t>Find if it's worth confirmation of a candle close</t>
  </si>
  <si>
    <t>Find which lines work best as pivot points</t>
  </si>
  <si>
    <t>Find relation with market trend as confirmation bias</t>
  </si>
  <si>
    <t>See if 5m chart works better</t>
  </si>
  <si>
    <t>Find if retested and a second fail can work as better confirmation</t>
  </si>
  <si>
    <t>SLQT</t>
  </si>
  <si>
    <t>Need backtesting to check what lines work better</t>
  </si>
  <si>
    <t>See if an RR can be defined by waiting for the first candle to close</t>
  </si>
  <si>
    <t>Enter when daily defined levels are broken or failed to be broken by candle close</t>
  </si>
  <si>
    <t>Enter as soon as something is happening at level (broken or failed)</t>
  </si>
  <si>
    <t>Profit level is met</t>
  </si>
  <si>
    <t>Confirmation is defined by a candle closing with the trend</t>
  </si>
  <si>
    <t>DT</t>
  </si>
  <si>
    <t>FU Club Discord</t>
  </si>
  <si>
    <t>Cheaper price than ZM</t>
  </si>
  <si>
    <t>Seeing ZM call</t>
  </si>
  <si>
    <t>My exit versus ZM's measured in Avg Return.</t>
  </si>
  <si>
    <t>ZM</t>
  </si>
  <si>
    <t>ZM SPY</t>
  </si>
  <si>
    <t>KPI 1 and 2 need to pulate from the setup selection</t>
  </si>
  <si>
    <t>Total Trades</t>
  </si>
  <si>
    <t>Profit</t>
  </si>
  <si>
    <t>Losses</t>
  </si>
  <si>
    <t>Average Return</t>
  </si>
  <si>
    <t>Game Plan</t>
  </si>
  <si>
    <t>Comments</t>
  </si>
  <si>
    <t>If yes, the information should be added to the weekly one pager.</t>
  </si>
  <si>
    <t>Sheet</t>
  </si>
  <si>
    <t>In Python, each trade can be a dictionary.</t>
  </si>
  <si>
    <t>Make a Trade Class perhaps</t>
  </si>
  <si>
    <t>On Sundays</t>
  </si>
  <si>
    <t>Do your weekly market analysis and add them to the Journal.</t>
  </si>
  <si>
    <t>If the entry is marked as Yes to one pager, pass the the information to Weekly One Pager sheet.</t>
  </si>
  <si>
    <t>Clear the Weekly One Pager.</t>
  </si>
  <si>
    <t>Copy the Weekly One Pager entries to the OneNote.</t>
  </si>
  <si>
    <t>Arrange the Weekly One Pager by Market comments, Stock comments, Followup comments.</t>
  </si>
  <si>
    <t>Followup</t>
  </si>
  <si>
    <t>To Dos</t>
  </si>
  <si>
    <t>A summary of all pending tasks open in the Journal.</t>
  </si>
  <si>
    <t>Daily:</t>
  </si>
  <si>
    <t>Reminders:</t>
  </si>
  <si>
    <t>30D Retro</t>
  </si>
  <si>
    <t>Journal: 30D retro needs to be performed to determine if I was right or not. Probably can be automated based on Price.</t>
  </si>
  <si>
    <t>Paste the TraderSync daily export on TraderSync Export sheet.</t>
  </si>
  <si>
    <t>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</si>
  <si>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</si>
  <si>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</si>
  <si>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</si>
  <si>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</si>
  <si>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Exit Feeling from Mistake.</t>
  </si>
  <si>
    <t>Recognize Source from Setup.</t>
  </si>
  <si>
    <t>Recognize Quality from Setup.</t>
  </si>
  <si>
    <t>Recognize Retrospective requirement from Setup_Data, add to trade date.</t>
  </si>
  <si>
    <t>Retro Due Date</t>
  </si>
  <si>
    <t>Retro: Add due Retros</t>
  </si>
  <si>
    <t>Ideas: Taken ideas are missing a TradeID</t>
  </si>
  <si>
    <t>Retro</t>
  </si>
  <si>
    <t>Not Passed: underperformed Execution Review Criteria.</t>
  </si>
  <si>
    <t>Passed: overperformed as described in Execution Review Criteria.</t>
  </si>
  <si>
    <t>Return</t>
  </si>
  <si>
    <t>KPI #3</t>
  </si>
  <si>
    <t>Populate KPI2 and 3 data from the TradeLog</t>
  </si>
  <si>
    <t>Define what Retro BI should look like</t>
  </si>
  <si>
    <t>Flag that determines if this entry is followup of an open trade.</t>
  </si>
  <si>
    <t>Unique ID for the trade.</t>
  </si>
  <si>
    <t>Trade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</si>
</sst>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00"/>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8"/>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i/>
      <sz val="10"/>
      <color rgb="FF00B050"/>
      <name val="Calibri"/>
      <family val="2"/>
      <scheme val="minor"/>
    </font>
    <font>
      <sz val="10"/>
      <color rgb="FF00B050"/>
      <name val="Calibri"/>
      <family val="2"/>
      <scheme val="minor"/>
    </font>
    <font>
      <sz val="11"/>
      <color rgb="FF0070C0"/>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5">
    <xf numFmtId="0" fontId="0" fillId="0" borderId="0"/>
    <xf numFmtId="0" fontId="5" fillId="0" borderId="0"/>
    <xf numFmtId="0" fontId="7" fillId="0" borderId="0"/>
    <xf numFmtId="0" fontId="6" fillId="0" borderId="0" applyNumberFormat="0" applyFill="0" applyBorder="0" applyAlignment="0" applyProtection="0"/>
    <xf numFmtId="9" fontId="8" fillId="0" borderId="0" applyFont="0" applyFill="0" applyBorder="0" applyAlignment="0" applyProtection="0"/>
  </cellStyleXfs>
  <cellXfs count="36">
    <xf numFmtId="0" fontId="0" fillId="0" borderId="0" xfId="0"/>
    <xf numFmtId="0" fontId="1" fillId="0" borderId="0" xfId="0" applyFont="1"/>
    <xf numFmtId="0" fontId="0" fillId="0" borderId="0" xfId="0" applyAlignment="1">
      <alignment horizontal="left" vertical="center"/>
    </xf>
    <xf numFmtId="14" fontId="0" fillId="0" borderId="0" xfId="0" applyNumberFormat="1" applyAlignment="1">
      <alignment horizontal="left" vertical="center"/>
    </xf>
    <xf numFmtId="164" fontId="0" fillId="0" borderId="0" xfId="0" applyNumberForma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4" fontId="4" fillId="0" borderId="0" xfId="0" applyNumberFormat="1" applyFont="1" applyAlignment="1">
      <alignment horizontal="left" vertical="center"/>
    </xf>
    <xf numFmtId="164" fontId="4" fillId="0" borderId="0" xfId="0" applyNumberFormat="1" applyFont="1" applyAlignment="1">
      <alignment horizontal="left" vertical="center"/>
    </xf>
    <xf numFmtId="4" fontId="4" fillId="0" borderId="0" xfId="0" applyNumberFormat="1" applyFont="1" applyAlignment="1">
      <alignment horizontal="left" vertical="center"/>
    </xf>
    <xf numFmtId="0" fontId="4" fillId="0" borderId="0" xfId="0" applyFont="1" applyAlignment="1">
      <alignment horizontal="left" vertical="center"/>
    </xf>
    <xf numFmtId="14" fontId="0" fillId="0" borderId="0" xfId="0" applyNumberFormat="1"/>
    <xf numFmtId="15" fontId="0" fillId="0" borderId="0" xfId="0" applyNumberFormat="1"/>
    <xf numFmtId="21" fontId="0" fillId="0" borderId="0" xfId="0" applyNumberFormat="1"/>
    <xf numFmtId="8" fontId="0" fillId="0" borderId="0" xfId="0" applyNumberFormat="1"/>
    <xf numFmtId="10" fontId="0" fillId="0" borderId="0" xfId="0" applyNumberFormat="1"/>
    <xf numFmtId="9" fontId="0" fillId="0" borderId="0" xfId="4" applyFont="1"/>
    <xf numFmtId="9" fontId="10" fillId="0" borderId="0" xfId="4" applyFont="1"/>
    <xf numFmtId="0" fontId="10" fillId="0" borderId="0" xfId="0" applyFont="1"/>
    <xf numFmtId="0" fontId="11" fillId="0" borderId="0" xfId="0" applyFont="1"/>
    <xf numFmtId="0" fontId="12" fillId="0" borderId="0" xfId="0" applyFont="1"/>
    <xf numFmtId="164" fontId="10" fillId="0" borderId="0" xfId="0" applyNumberFormat="1" applyFont="1" applyAlignment="1">
      <alignment horizontal="left" vertical="center"/>
    </xf>
    <xf numFmtId="164" fontId="13" fillId="0" borderId="0" xfId="0" applyNumberFormat="1" applyFont="1" applyAlignment="1">
      <alignment horizontal="left" vertical="center"/>
    </xf>
    <xf numFmtId="0" fontId="10" fillId="0" borderId="0" xfId="0" applyFont="1" applyAlignment="1">
      <alignment horizontal="left" vertical="center"/>
    </xf>
    <xf numFmtId="0" fontId="14" fillId="0" borderId="0" xfId="0" applyFont="1" applyAlignment="1">
      <alignment horizontal="left" vertical="center"/>
    </xf>
    <xf numFmtId="0" fontId="13" fillId="0" borderId="0" xfId="0" applyFont="1" applyAlignment="1">
      <alignment horizontal="left" vertical="center"/>
    </xf>
    <xf numFmtId="14" fontId="10" fillId="0" borderId="0" xfId="0" applyNumberFormat="1" applyFont="1" applyAlignment="1">
      <alignment horizontal="left" vertical="center"/>
    </xf>
    <xf numFmtId="14" fontId="13" fillId="0" borderId="0" xfId="0" applyNumberFormat="1" applyFont="1" applyAlignment="1">
      <alignment horizontal="left" vertical="center"/>
    </xf>
    <xf numFmtId="0" fontId="15" fillId="0" borderId="0" xfId="0" applyFont="1"/>
    <xf numFmtId="164" fontId="10" fillId="0" borderId="0" xfId="0" applyNumberFormat="1" applyFont="1"/>
    <xf numFmtId="0" fontId="15" fillId="0" borderId="0" xfId="0" applyFont="1" applyAlignment="1">
      <alignment horizontal="left" vertical="center"/>
    </xf>
    <xf numFmtId="14" fontId="15" fillId="0" borderId="0" xfId="0" applyNumberFormat="1" applyFont="1" applyAlignment="1">
      <alignment horizontal="left" vertical="center"/>
    </xf>
    <xf numFmtId="164" fontId="15" fillId="0" borderId="0" xfId="0" applyNumberFormat="1" applyFont="1" applyAlignment="1">
      <alignment horizontal="left" vertical="center"/>
    </xf>
    <xf numFmtId="4" fontId="0" fillId="0" borderId="0" xfId="0" applyNumberFormat="1" applyAlignment="1">
      <alignment horizontal="left" vertical="center"/>
    </xf>
    <xf numFmtId="14" fontId="15" fillId="0" borderId="0" xfId="0" applyNumberFormat="1" applyFont="1"/>
    <xf numFmtId="0" fontId="0" fillId="2" borderId="0" xfId="0" applyFill="1"/>
  </cellXfs>
  <cellStyles count="5">
    <cellStyle name="Hyperlink 2" xfId="3" xr:uid="{0F22FAF7-1705-4765-9072-4BA760CED3A8}"/>
    <cellStyle name="Normal" xfId="0" builtinId="0"/>
    <cellStyle name="Normal 2" xfId="2" xr:uid="{C8472F90-B959-4FC6-B28D-27273005D18C}"/>
    <cellStyle name="Normal 3" xfId="1" xr:uid="{4BF43F0E-C054-4FE7-9766-0184968AFF15}"/>
    <cellStyle name="Percent" xfId="4" builtinId="5"/>
  </cellStyles>
  <dxfs count="45">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color rgb="FF00B050"/>
        <name val="Calibri"/>
        <family val="2"/>
        <scheme val="minor"/>
      </font>
      <numFmt numFmtId="164" formatCode="&quot;$&quot;#,##0.00"/>
    </dxf>
    <dxf>
      <font>
        <strike val="0"/>
        <outline val="0"/>
        <shadow val="0"/>
        <u val="none"/>
        <vertAlign val="baseline"/>
        <sz val="10"/>
        <color rgb="FF00B050"/>
        <name val="Calibri"/>
        <family val="2"/>
        <scheme val="minor"/>
      </font>
    </dxf>
    <dxf>
      <font>
        <strike val="0"/>
        <outline val="0"/>
        <shadow val="0"/>
        <u val="none"/>
        <vertAlign val="baseline"/>
        <sz val="10"/>
        <color rgb="FF00B050"/>
        <name val="Calibri"/>
        <family val="2"/>
        <scheme val="minor"/>
      </font>
    </dxf>
    <dxf>
      <font>
        <strike val="0"/>
        <outline val="0"/>
        <shadow val="0"/>
        <u val="none"/>
        <vertAlign val="baseline"/>
        <sz val="10"/>
        <color rgb="FF00B050"/>
        <name val="Calibri"/>
        <family val="2"/>
        <scheme val="minor"/>
      </font>
      <numFmt numFmtId="164" formatCode="&quot;$&quot;#,##0.00"/>
    </dxf>
    <dxf>
      <font>
        <strike val="0"/>
        <outline val="0"/>
        <shadow val="0"/>
        <u val="none"/>
        <vertAlign val="baseline"/>
        <sz val="10"/>
        <color rgb="FF00B050"/>
        <name val="Calibri"/>
        <family val="2"/>
        <scheme val="minor"/>
      </font>
      <numFmt numFmtId="164" formatCode="&quot;$&quot;#,##0.00"/>
    </dxf>
    <dxf>
      <font>
        <strike val="0"/>
        <outline val="0"/>
        <shadow val="0"/>
        <u val="none"/>
        <vertAlign val="baseline"/>
        <sz val="10"/>
        <color rgb="FF00B050"/>
        <name val="Calibri"/>
        <family val="2"/>
        <scheme val="minor"/>
      </font>
      <numFmt numFmtId="164" formatCode="&quot;$&quot;#,##0.00"/>
    </dxf>
    <dxf>
      <font>
        <strike val="0"/>
        <outline val="0"/>
        <shadow val="0"/>
        <u val="none"/>
        <vertAlign val="baseline"/>
        <sz val="10"/>
        <color rgb="FF00B050"/>
        <name val="Calibri"/>
        <family val="2"/>
        <scheme val="minor"/>
      </font>
      <numFmt numFmtId="164" formatCode="&quot;$&quot;#,##0.00"/>
    </dxf>
    <dxf>
      <font>
        <strike val="0"/>
        <outline val="0"/>
        <shadow val="0"/>
        <u val="none"/>
        <vertAlign val="baseline"/>
        <sz val="10"/>
        <color rgb="FF00B050"/>
        <name val="Calibri"/>
        <family val="2"/>
        <scheme val="minor"/>
      </font>
      <numFmt numFmtId="19" formatCode="m/d/yyyy"/>
    </dxf>
    <dxf>
      <font>
        <b val="0"/>
        <i val="0"/>
        <strike val="0"/>
        <condense val="0"/>
        <extend val="0"/>
        <outline val="0"/>
        <shadow val="0"/>
        <u val="none"/>
        <vertAlign val="baseline"/>
        <sz val="10"/>
        <color rgb="FF00B05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rgb="FF00B050"/>
        <name val="Calibri"/>
        <family val="2"/>
        <scheme val="minor"/>
      </font>
      <alignment horizontal="left" vertical="center" textRotation="0" wrapText="0" indent="0" justifyLastLine="0" shrinkToFit="0" readingOrder="0"/>
    </dxf>
    <dxf>
      <font>
        <strike val="0"/>
        <outline val="0"/>
        <shadow val="0"/>
        <u val="none"/>
        <vertAlign val="baseline"/>
        <sz val="10"/>
        <name val="Calibri"/>
        <family val="2"/>
        <scheme val="minor"/>
      </font>
    </dxf>
    <dxf>
      <numFmt numFmtId="164" formatCode="&quot;$&quot;#,##0.0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color theme="1"/>
        <name val="Calibri"/>
        <family val="2"/>
        <scheme val="minor"/>
      </font>
      <numFmt numFmtId="164" formatCode="&quot;$&quot;#,##0.00"/>
    </dxf>
    <dxf>
      <font>
        <strike val="0"/>
        <outline val="0"/>
        <shadow val="0"/>
        <u val="none"/>
        <vertAlign val="baseline"/>
        <sz val="10"/>
        <color theme="1"/>
        <name val="Calibri"/>
        <family val="2"/>
        <scheme val="minor"/>
      </font>
      <numFmt numFmtId="164" formatCode="&quot;$&quot;#,##0.0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color theme="1"/>
        <name val="Calibri"/>
        <family val="2"/>
        <scheme val="minor"/>
      </font>
      <numFmt numFmtId="4" formatCode="#,##0.00"/>
    </dxf>
    <dxf>
      <font>
        <strike val="0"/>
        <outline val="0"/>
        <shadow val="0"/>
        <u val="none"/>
        <vertAlign val="baseline"/>
        <sz val="10"/>
        <name val="Calibri"/>
        <family val="2"/>
        <scheme val="minor"/>
      </font>
      <numFmt numFmtId="164" formatCode="&quot;$&quot;#,##0.00"/>
    </dxf>
    <dxf>
      <font>
        <strike val="0"/>
        <outline val="0"/>
        <shadow val="0"/>
        <u val="none"/>
        <vertAlign val="baseline"/>
        <sz val="10"/>
        <name val="Calibri"/>
        <family val="2"/>
        <scheme val="minor"/>
      </font>
      <numFmt numFmtId="164" formatCode="&quot;$&quot;#,##0.00"/>
    </dxf>
    <dxf>
      <font>
        <strike val="0"/>
        <outline val="0"/>
        <shadow val="0"/>
        <u val="none"/>
        <vertAlign val="baseline"/>
        <sz val="10"/>
        <name val="Calibri"/>
        <family val="2"/>
        <scheme val="minor"/>
      </font>
      <numFmt numFmtId="164" formatCode="&quot;$&quot;#,##0.00"/>
    </dxf>
    <dxf>
      <font>
        <strike val="0"/>
        <outline val="0"/>
        <shadow val="0"/>
        <u val="none"/>
        <vertAlign val="baseline"/>
        <sz val="10"/>
        <name val="Calibri"/>
        <family val="2"/>
        <scheme val="minor"/>
      </font>
      <numFmt numFmtId="164" formatCode="&quot;$&quot;#,##0.00"/>
    </dxf>
    <dxf>
      <font>
        <strike val="0"/>
        <outline val="0"/>
        <shadow val="0"/>
        <u val="none"/>
        <vertAlign val="baseline"/>
        <sz val="10"/>
        <name val="Calibri"/>
        <family val="2"/>
        <scheme val="minor"/>
      </font>
      <numFmt numFmtId="19" formatCode="m/d/yyyy"/>
    </dxf>
    <dxf>
      <font>
        <b val="0"/>
        <i val="0"/>
        <strike val="0"/>
        <condense val="0"/>
        <extend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numFmt numFmtId="164" formatCode="&quot;$&quot;#,##0.00"/>
    </dxf>
    <dxf>
      <font>
        <b/>
        <i/>
        <color theme="3"/>
      </font>
      <fill>
        <patternFill>
          <bgColor theme="4" tint="0.79998168889431442"/>
        </patternFill>
      </fill>
      <border diagonalUp="0" diagonalDown="0">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diagonalUp="0" diagonalDown="0">
        <left/>
        <right/>
        <top/>
        <bottom style="thin">
          <color theme="4"/>
        </bottom>
        <vertical/>
        <horizontal/>
      </border>
    </dxf>
    <dxf>
      <font>
        <b/>
        <i/>
        <color theme="3"/>
      </font>
      <fill>
        <patternFill patternType="none">
          <fgColor auto="1"/>
          <bgColor auto="1"/>
        </patternFill>
      </fill>
      <border diagonalUp="0" diagonalDown="0">
        <left/>
        <right/>
        <top/>
        <bottom/>
        <vertical/>
        <horizontal/>
      </border>
    </dxf>
    <dxf>
      <font>
        <b/>
        <i/>
        <color theme="3"/>
      </font>
      <fill>
        <patternFill patternType="solid">
          <fgColor theme="8" tint="0.79989013336588644"/>
          <bgColor theme="0" tint="-4.9989318521683403E-2"/>
        </patternFill>
      </fill>
      <border diagonalUp="0" diagonalDown="0">
        <left/>
        <right/>
        <top/>
        <bottom style="thin">
          <color theme="4"/>
        </bottom>
        <vertical/>
        <horizontal/>
      </border>
    </dxf>
  </dxfs>
  <tableStyles count="1" defaultTableStyle="TableStyleMedium2" defaultPivotStyle="PivotStyleLight16">
    <tableStyle name="CustomerProfitabilityAnalysis_table2" pivot="0" count="5" xr9:uid="{45D5815C-1AA6-435A-AAB7-AC817366AA6F}">
      <tableStyleElement type="wholeTable" dxfId="44"/>
      <tableStyleElement type="headerRow" dxfId="43"/>
      <tableStyleElement type="firstColumn" dxfId="42"/>
      <tableStyleElement type="lastColumn" dxfId="41"/>
      <tableStyleElement type="first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558800</xdr:colOff>
      <xdr:row>0</xdr:row>
      <xdr:rowOff>0</xdr:rowOff>
    </xdr:from>
    <xdr:to>
      <xdr:col>23</xdr:col>
      <xdr:colOff>368300</xdr:colOff>
      <xdr:row>34</xdr:row>
      <xdr:rowOff>19013</xdr:rowOff>
    </xdr:to>
    <xdr:pic>
      <xdr:nvPicPr>
        <xdr:cNvPr id="2" name="Picture 1">
          <a:extLst>
            <a:ext uri="{FF2B5EF4-FFF2-40B4-BE49-F238E27FC236}">
              <a16:creationId xmlns:a16="http://schemas.microsoft.com/office/drawing/2014/main" id="{9EDF1069-4C95-46A8-BEA7-F5C43567C823}"/>
            </a:ext>
          </a:extLst>
        </xdr:cNvPr>
        <xdr:cNvPicPr>
          <a:picLocks noChangeAspect="1"/>
        </xdr:cNvPicPr>
      </xdr:nvPicPr>
      <xdr:blipFill>
        <a:blip xmlns:r="http://schemas.openxmlformats.org/officeDocument/2006/relationships" r:embed="rId1"/>
        <a:stretch>
          <a:fillRect/>
        </a:stretch>
      </xdr:blipFill>
      <xdr:spPr>
        <a:xfrm>
          <a:off x="9074150" y="0"/>
          <a:ext cx="5905500" cy="62801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82C7D-5E82-4A96-949D-8D1BC563CFE1}" name="Table2" displayName="Table2" ref="A1:U57" totalsRowShown="0" headerRowDxfId="39" dataDxfId="38">
  <autoFilter ref="A1:U57" xr:uid="{C2582C7D-5E82-4A96-949D-8D1BC563CFE1}"/>
  <tableColumns count="21">
    <tableColumn id="1" xr3:uid="{34824A7B-2170-4956-8949-45C11A7955DF}" name="Ticker" dataDxfId="37"/>
    <tableColumn id="2" xr3:uid="{0D321B6B-7DFE-46D4-B914-FA65D64833AF}" name="Date" dataDxfId="36"/>
    <tableColumn id="3" xr3:uid="{D683FD37-0F8C-4E99-91D4-FD253F2D9F3E}" name="Current Price" dataDxfId="35"/>
    <tableColumn id="4" xr3:uid="{F276C507-596C-4D78-8C6D-21C52D666C73}" name="Target Entry" dataDxfId="34"/>
    <tableColumn id="5" xr3:uid="{076B94DC-BB48-4B30-A240-E0FE82202770}" name="Target Price" dataDxfId="33"/>
    <tableColumn id="6" xr3:uid="{7AEA303D-0CC0-4780-AEB6-01C20BB26793}" name="Stop" dataDxfId="32"/>
    <tableColumn id="7" xr3:uid="{8E5EF058-10E9-4018-8A7D-0CEB29B2A626}" name="RR Ratio" dataDxfId="31">
      <calculatedColumnFormula>(Table2[[#This Row],[Target Price]]-Table2[[#This Row],[Target Entry]])/(Table2[[#This Row],[Target Entry]]-Table2[[#This Row],[Stop]])</calculatedColumnFormula>
    </tableColumn>
    <tableColumn id="8" xr3:uid="{CB6C6C3B-DD8E-43BB-9041-D80E4DEFDEC0}" name="Trade Direction" dataDxfId="30"/>
    <tableColumn id="10" xr3:uid="{1F601506-3F1F-4F4F-9012-541750894EF8}" name="Strategy" dataDxfId="29"/>
    <tableColumn id="20" xr3:uid="{977D1B43-4DF4-493F-8496-B88ED3D030B0}" name="Market"/>
    <tableColumn id="19" xr3:uid="{BB43898C-79D3-4B3B-A816-827972B0B817}" name="Relative"/>
    <tableColumn id="11" xr3:uid="{D467404A-45D7-4FCE-B012-63FD2EDC2724}" name="1hr Trend" dataDxfId="28"/>
    <tableColumn id="14" xr3:uid="{E5554A63-0D0E-4EBA-B40C-A1A9D5B23126}" name="1hr Cloud" dataDxfId="27"/>
    <tableColumn id="15" xr3:uid="{F8149FE5-DA40-465C-B862-036CC817D02E}" name="Intended Position" dataDxfId="26"/>
    <tableColumn id="18" xr3:uid="{FEDC030C-31A6-4946-80DA-B55EF4A02E19}" name="To win Money" dataDxfId="25">
      <calculatedColumnFormula>IF(Table2[[#This Row],[Trade Direction]]="Short",Table2[[#This Row],[Target Entry]]-Table2[[#This Row],[Target Price]],Table2[[#This Row],[Target Price]]-Table2[[#This Row],[Target Entry]])*Table2[[#This Row],[Intended Position]]</calculatedColumnFormula>
    </tableColumn>
    <tableColumn id="16" xr3:uid="{EC48CADF-B38C-4F39-9635-17BDBDB085A1}" name="Money Risk" dataDxfId="24">
      <calculatedColumnFormula>IF(Table2[[#This Row],[Trade Direction]]="Short",Table2[[#This Row],[Target Entry]]-Table2[[#This Row],[Stop]],Table2[[#This Row],[Stop]]-Table2[[#This Row],[Target Entry]])*Table2[[#This Row],[Intended Position]]</calculatedColumnFormula>
    </tableColumn>
    <tableColumn id="9" xr3:uid="{89BB4109-ED18-4147-82CE-4DD50D1C9E34}" name="Notes" dataDxfId="23"/>
    <tableColumn id="17" xr3:uid="{0B8102C9-44A8-43E0-AC3D-3C24C065D30A}" name="Sourced" dataDxfId="22"/>
    <tableColumn id="12" xr3:uid="{823083A6-F75A-4113-8E77-1E5F0B1FA8D9}" name="Quality" dataDxfId="21"/>
    <tableColumn id="13" xr3:uid="{3AF4AF68-77D0-4416-A9C9-4BC6170C0F5A}" name="Filter" dataDxfId="20"/>
    <tableColumn id="23" xr3:uid="{0961073E-CE2C-4A92-9D70-725966BF080F}" name="Trade ID" dataDxfId="19"/>
  </tableColumns>
  <tableStyleInfo name="CustomerProfitabilityAnalysis_table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A34017-2070-496C-856F-F824A2C7400D}" name="Table23" displayName="Table23" ref="A1:Q57" totalsRowShown="0" headerRowDxfId="18" dataDxfId="17">
  <autoFilter ref="A1:Q57" xr:uid="{97A34017-2070-496C-856F-F824A2C7400D}"/>
  <tableColumns count="17">
    <tableColumn id="14" xr3:uid="{A1D111CC-FEE3-4E3D-B8B7-8051652AA9B7}" name="Trade ID" dataDxfId="16"/>
    <tableColumn id="1" xr3:uid="{A655FFB9-C8BC-42F1-BB73-DE78155EC4B8}" name="Ticker" dataDxfId="15"/>
    <tableColumn id="2" xr3:uid="{BB4561DB-B10C-4AF1-A055-D65192356E52}" name="Close Date" dataDxfId="14"/>
    <tableColumn id="3" xr3:uid="{C6F3EC9A-E6B3-4695-BF14-F2E2AF93F712}" name="Entry Price" dataDxfId="13"/>
    <tableColumn id="4" xr3:uid="{44112A73-B30D-4431-9A0C-8F3218180BC7}" name="Exit Price" dataDxfId="12"/>
    <tableColumn id="5" xr3:uid="{14ADF1C8-6E14-4D48-9E27-347C9647E2B5}" name="Avg Buy" dataDxfId="11"/>
    <tableColumn id="6" xr3:uid="{94A53DA6-16CD-49AE-B588-09FA944B4BFB}" name="Avg Sell" dataDxfId="10"/>
    <tableColumn id="8" xr3:uid="{8A27EC6C-7352-46B6-8402-1D542B5A627E}" name="Net Return" dataDxfId="9"/>
    <tableColumn id="10" xr3:uid="{D391837E-C231-41D0-82AA-2069BC5206E4}" name="Strategy" dataDxfId="8"/>
    <tableColumn id="18" xr3:uid="{AD1973D7-97EB-4620-9613-DE85BD49C424}" name="Status" dataDxfId="7"/>
    <tableColumn id="9" xr3:uid="{8E85E24D-F459-4C32-9110-C37E95D44C78}" name="Exit Feeling" dataDxfId="6"/>
    <tableColumn id="17" xr3:uid="{F565E2BE-1642-4811-B56A-B882D712CEE2}" name="Sourced" dataDxfId="5"/>
    <tableColumn id="12" xr3:uid="{5ECD25E6-1789-4F88-8289-0FEBEC98186A}" name="Quality" dataDxfId="4"/>
    <tableColumn id="15" xr3:uid="{15C296B7-30A9-4E26-B185-E8B725AE64A3}" name="Retro Due Date" dataDxfId="3"/>
    <tableColumn id="11" xr3:uid="{88D844F0-BE2A-4D2F-8D97-11DDBEC37622}" name="KPI #1" dataDxfId="2"/>
    <tableColumn id="13" xr3:uid="{73562BD2-78B0-4029-B995-137997A28AF2}" name="KPI #2" dataDxfId="1"/>
    <tableColumn id="19" xr3:uid="{791C6E58-2B2D-48F3-978F-58AD99C18BF3}" name="KPI #3"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F15B-3069-4F87-BC9A-68B7BC4A8EAE}">
  <sheetPr>
    <tabColor rgb="FFFF0000"/>
  </sheetPr>
  <dimension ref="A1:B1"/>
  <sheetViews>
    <sheetView workbookViewId="0">
      <selection activeCell="L20" sqref="L20"/>
    </sheetView>
  </sheetViews>
  <sheetFormatPr defaultRowHeight="14.5" x14ac:dyDescent="0.35"/>
  <sheetData>
    <row r="1" spans="1:2" x14ac:dyDescent="0.35">
      <c r="A1" t="s">
        <v>343</v>
      </c>
      <c r="B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D39F-6E67-48F5-BE72-EA5B105385CE}">
  <sheetPr codeName="Sheet1"/>
  <dimension ref="A1:F1"/>
  <sheetViews>
    <sheetView workbookViewId="0">
      <selection activeCell="A2" sqref="A2"/>
    </sheetView>
  </sheetViews>
  <sheetFormatPr defaultRowHeight="14.5" x14ac:dyDescent="0.35"/>
  <cols>
    <col min="2" max="3" width="11.36328125" style="18" customWidth="1"/>
    <col min="4" max="4" width="13.36328125" style="18" customWidth="1"/>
    <col min="5" max="5" width="16" style="18" customWidth="1"/>
  </cols>
  <sheetData>
    <row r="1" spans="1:6" x14ac:dyDescent="0.35">
      <c r="A1" s="18" t="s">
        <v>8</v>
      </c>
      <c r="B1" s="18" t="s">
        <v>7</v>
      </c>
      <c r="C1" s="18" t="s">
        <v>341</v>
      </c>
      <c r="D1" s="18" t="s">
        <v>48</v>
      </c>
      <c r="E1" s="18" t="s">
        <v>49</v>
      </c>
      <c r="F1" t="s">
        <v>340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B380-54A7-4C2D-AEDF-032CF9424A6B}">
  <sheetPr codeName="Sheet2">
    <pageSetUpPr autoPageBreaks="0"/>
  </sheetPr>
  <dimension ref="A1:M1"/>
  <sheetViews>
    <sheetView tabSelected="1" zoomScaleNormal="100" workbookViewId="0">
      <selection activeCell="A2" sqref="A2"/>
    </sheetView>
  </sheetViews>
  <sheetFormatPr defaultRowHeight="14.5" x14ac:dyDescent="0.35"/>
  <cols>
    <col min="1" max="1" width="9.453125" style="11" bestFit="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x14ac:dyDescent="0.35">
      <c r="A1" s="34" t="s">
        <v>8</v>
      </c>
      <c r="B1" s="28" t="s">
        <v>7</v>
      </c>
      <c r="C1" s="28" t="s">
        <v>9</v>
      </c>
      <c r="D1" s="28" t="s">
        <v>53</v>
      </c>
      <c r="E1" s="28" t="s">
        <v>33</v>
      </c>
      <c r="F1" s="28" t="s">
        <v>50</v>
      </c>
      <c r="G1" s="28" t="s">
        <v>37</v>
      </c>
      <c r="H1" s="28" t="s">
        <v>48</v>
      </c>
      <c r="I1" s="28" t="s">
        <v>49</v>
      </c>
      <c r="J1" s="28" t="s">
        <v>341</v>
      </c>
      <c r="K1" s="28" t="s">
        <v>357</v>
      </c>
      <c r="L1" s="28" t="s">
        <v>217</v>
      </c>
      <c r="M1" s="28" t="s">
        <v>352</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64B121D-5D1B-4E1F-AEC0-332CBD516103}">
          <x14:formula1>
            <xm:f>'Data Tags'!$B$3:$Z$3</xm:f>
          </x14:formula1>
          <xm:sqref>F2:F1048576</xm:sqref>
        </x14:dataValidation>
        <x14:dataValidation type="list" allowBlank="1" showInputMessage="1" showErrorMessage="1" xr:uid="{189E075D-99C5-4CCD-ACAA-C35CD7493AC8}">
          <x14:formula1>
            <xm:f>'Data Tags'!$B$2:$Z$2</xm:f>
          </x14:formula1>
          <xm:sqref>D2:D1048576 E2:E1048576</xm:sqref>
        </x14:dataValidation>
        <x14:dataValidation type="list" allowBlank="1" showInputMessage="1" showErrorMessage="1" xr:uid="{4F00C2DF-D6F8-4EAB-A0B4-1A6A859B78AE}">
          <x14:formula1>
            <xm:f>'Data Tags'!$B$5:$Z$5</xm:f>
          </x14:formula1>
          <xm:sqref>K2:K1048576</xm:sqref>
        </x14:dataValidation>
        <x14:dataValidation type="list" allowBlank="1" showInputMessage="1" showErrorMessage="1" xr:uid="{A497BEF9-FE9B-4541-9A7C-A38ABD6591A6}">
          <x14:formula1>
            <xm:f>'Data Tags'!$B$4:$Z$4</xm:f>
          </x14:formula1>
          <xm:sqref>G2:G1048576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55F4-4682-4E8C-9620-8204CD4A4D1A}">
  <sheetPr codeName="Sheet3"/>
  <dimension ref="A1:U57"/>
  <sheetViews>
    <sheetView workbookViewId="0">
      <selection activeCell="H1" sqref="H1"/>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30" t="s">
        <v>7</v>
      </c>
      <c r="B1" s="31" t="s">
        <v>8</v>
      </c>
      <c r="C1" s="32" t="s">
        <v>9</v>
      </c>
      <c r="D1" s="32" t="s">
        <v>10</v>
      </c>
      <c r="E1" s="32" t="s">
        <v>11</v>
      </c>
      <c r="F1" s="32" t="s">
        <v>12</v>
      </c>
      <c r="G1" s="33" t="s">
        <v>13</v>
      </c>
      <c r="H1" s="30" t="s">
        <v>381</v>
      </c>
      <c r="I1" s="30" t="s">
        <v>27</v>
      </c>
      <c r="J1" s="30" t="s">
        <v>15</v>
      </c>
      <c r="K1" s="30" t="s">
        <v>16</v>
      </c>
      <c r="L1" s="30" t="s">
        <v>17</v>
      </c>
      <c r="M1" s="30" t="s">
        <v>18</v>
      </c>
      <c r="N1" s="32" t="s">
        <v>19</v>
      </c>
      <c r="O1" s="4" t="s">
        <v>20</v>
      </c>
      <c r="P1" s="4" t="s">
        <v>21</v>
      </c>
      <c r="Q1" s="32" t="s">
        <v>22</v>
      </c>
      <c r="R1" s="32" t="s">
        <v>23</v>
      </c>
      <c r="S1" s="32" t="s">
        <v>24</v>
      </c>
      <c r="T1" s="32" t="s">
        <v>25</v>
      </c>
      <c r="U1" s="29" t="s">
        <v>28</v>
      </c>
    </row>
    <row r="2" spans="1:21" x14ac:dyDescent="0.35">
      <c r="A2" s="5"/>
      <c r="B2" s="3"/>
      <c r="C2" s="4"/>
      <c r="D2" s="4"/>
      <c r="E2" s="4"/>
      <c r="F2" s="4"/>
      <c r="G2" s="33"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9"/>
    </row>
    <row r="3" spans="1:21" x14ac:dyDescent="0.35">
      <c r="A3" s="5"/>
      <c r="B3" s="3"/>
      <c r="C3" s="4"/>
      <c r="D3" s="4"/>
      <c r="E3" s="4"/>
      <c r="F3" s="4"/>
      <c r="G3" s="33"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9"/>
    </row>
    <row r="4" spans="1:21" x14ac:dyDescent="0.35">
      <c r="A4" s="5"/>
      <c r="B4" s="3"/>
      <c r="C4" s="4"/>
      <c r="D4" s="4"/>
      <c r="E4" s="4"/>
      <c r="F4" s="4"/>
      <c r="G4" s="33"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9"/>
    </row>
    <row r="5" spans="1:21" x14ac:dyDescent="0.35">
      <c r="A5" s="5"/>
      <c r="B5" s="3"/>
      <c r="C5" s="4"/>
      <c r="D5" s="4"/>
      <c r="E5" s="4"/>
      <c r="F5" s="4"/>
      <c r="G5" s="33"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9"/>
    </row>
    <row r="6" spans="1:21" x14ac:dyDescent="0.35">
      <c r="A6" s="5"/>
      <c r="B6" s="3"/>
      <c r="C6" s="4"/>
      <c r="D6" s="4"/>
      <c r="E6" s="4"/>
      <c r="F6" s="4"/>
      <c r="G6" s="33"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9"/>
    </row>
    <row r="7" spans="1:21" x14ac:dyDescent="0.35">
      <c r="A7" s="5"/>
      <c r="B7" s="3"/>
      <c r="C7" s="4"/>
      <c r="D7" s="4"/>
      <c r="E7" s="4"/>
      <c r="F7" s="4"/>
      <c r="G7" s="33"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9"/>
    </row>
    <row r="8" spans="1:21" x14ac:dyDescent="0.35">
      <c r="A8" s="5"/>
      <c r="B8" s="3"/>
      <c r="C8" s="4"/>
      <c r="D8" s="4"/>
      <c r="E8" s="4"/>
      <c r="F8" s="4"/>
      <c r="G8" s="33"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9"/>
    </row>
    <row r="9" spans="1:21" x14ac:dyDescent="0.35">
      <c r="A9" s="5"/>
      <c r="B9" s="3"/>
      <c r="C9" s="4"/>
      <c r="D9" s="4"/>
      <c r="E9" s="4"/>
      <c r="F9" s="4"/>
      <c r="G9" s="33"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9"/>
    </row>
    <row r="10" spans="1:21" x14ac:dyDescent="0.35">
      <c r="A10" s="5"/>
      <c r="B10" s="3"/>
      <c r="C10" s="4"/>
      <c r="D10" s="4"/>
      <c r="E10" s="4"/>
      <c r="F10" s="4"/>
      <c r="G10" s="33"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9"/>
    </row>
    <row r="11" spans="1:21" x14ac:dyDescent="0.35">
      <c r="A11" s="5"/>
      <c r="B11" s="3"/>
      <c r="C11" s="4"/>
      <c r="D11" s="4"/>
      <c r="E11" s="4"/>
      <c r="F11" s="4"/>
      <c r="G11" s="33"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9"/>
    </row>
    <row r="12" spans="1:21" x14ac:dyDescent="0.35">
      <c r="A12" s="5"/>
      <c r="B12" s="3"/>
      <c r="C12" s="4"/>
      <c r="D12" s="4"/>
      <c r="E12" s="4"/>
      <c r="F12" s="4"/>
      <c r="G12" s="33"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9"/>
    </row>
    <row r="13" spans="1:21" x14ac:dyDescent="0.35">
      <c r="A13" s="5"/>
      <c r="B13" s="3"/>
      <c r="C13" s="4"/>
      <c r="D13" s="4"/>
      <c r="E13" s="4"/>
      <c r="F13" s="4"/>
      <c r="G13" s="33"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9"/>
    </row>
    <row r="14" spans="1:21" x14ac:dyDescent="0.35">
      <c r="A14" s="5"/>
      <c r="B14" s="3"/>
      <c r="C14" s="4"/>
      <c r="D14" s="4"/>
      <c r="E14" s="4"/>
      <c r="F14" s="4"/>
      <c r="G14" s="33"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9"/>
    </row>
    <row r="15" spans="1:21" x14ac:dyDescent="0.35">
      <c r="A15" s="5"/>
      <c r="B15" s="3"/>
      <c r="C15" s="4"/>
      <c r="D15" s="4"/>
      <c r="E15" s="4"/>
      <c r="F15" s="4"/>
      <c r="G15" s="33"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9"/>
    </row>
    <row r="16" spans="1:21" x14ac:dyDescent="0.35">
      <c r="A16" s="5"/>
      <c r="B16" s="3"/>
      <c r="C16" s="4"/>
      <c r="D16" s="4"/>
      <c r="E16" s="4"/>
      <c r="F16" s="4"/>
      <c r="G16" s="33"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9"/>
    </row>
    <row r="17" spans="1:21" x14ac:dyDescent="0.35">
      <c r="A17" s="5"/>
      <c r="B17" s="3"/>
      <c r="C17" s="4"/>
      <c r="D17" s="4"/>
      <c r="E17" s="4"/>
      <c r="F17" s="4"/>
      <c r="G17" s="33"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9"/>
    </row>
    <row r="18" spans="1:21" x14ac:dyDescent="0.35">
      <c r="A18" s="5"/>
      <c r="B18" s="3"/>
      <c r="C18" s="4"/>
      <c r="D18" s="4"/>
      <c r="E18" s="4"/>
      <c r="F18" s="4"/>
      <c r="G18" s="33"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9"/>
    </row>
    <row r="19" spans="1:21" x14ac:dyDescent="0.35">
      <c r="A19" s="5"/>
      <c r="B19" s="3"/>
      <c r="C19" s="4"/>
      <c r="D19" s="4"/>
      <c r="E19" s="4"/>
      <c r="F19" s="4"/>
      <c r="G19" s="33"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9"/>
    </row>
    <row r="20" spans="1:21" x14ac:dyDescent="0.35">
      <c r="A20" s="5"/>
      <c r="B20" s="3"/>
      <c r="C20" s="4"/>
      <c r="D20" s="4"/>
      <c r="E20" s="4"/>
      <c r="F20" s="4"/>
      <c r="G20" s="33"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9"/>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9"/>
    </row>
    <row r="22" spans="1:21" x14ac:dyDescent="0.35">
      <c r="A22" s="5"/>
      <c r="B22" s="3"/>
      <c r="C22" s="4"/>
      <c r="D22" s="4"/>
      <c r="E22" s="4"/>
      <c r="F22" s="4"/>
      <c r="G22" s="33"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9"/>
    </row>
    <row r="23" spans="1:21" x14ac:dyDescent="0.35">
      <c r="A23" s="5"/>
      <c r="B23" s="3"/>
      <c r="C23" s="4"/>
      <c r="D23" s="4"/>
      <c r="E23" s="4"/>
      <c r="F23" s="4"/>
      <c r="G23" s="33"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9"/>
    </row>
    <row r="24" spans="1:21" x14ac:dyDescent="0.35">
      <c r="A24" s="5"/>
      <c r="B24" s="3"/>
      <c r="C24" s="4"/>
      <c r="D24" s="4"/>
      <c r="E24" s="4"/>
      <c r="F24" s="4"/>
      <c r="G24" s="33"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9"/>
    </row>
    <row r="25" spans="1:21" x14ac:dyDescent="0.35">
      <c r="A25" s="5"/>
      <c r="B25" s="3"/>
      <c r="C25" s="4"/>
      <c r="D25" s="4"/>
      <c r="E25" s="4"/>
      <c r="F25" s="4"/>
      <c r="G25" s="33"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9"/>
    </row>
    <row r="26" spans="1:21" x14ac:dyDescent="0.35">
      <c r="A26" s="5"/>
      <c r="B26" s="3"/>
      <c r="C26" s="4"/>
      <c r="D26" s="4"/>
      <c r="E26" s="4"/>
      <c r="F26" s="4"/>
      <c r="G26" s="33"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9"/>
    </row>
    <row r="27" spans="1:21" x14ac:dyDescent="0.35">
      <c r="A27" s="5"/>
      <c r="B27" s="3"/>
      <c r="C27" s="4"/>
      <c r="D27" s="4"/>
      <c r="E27" s="4"/>
      <c r="F27" s="4"/>
      <c r="G27" s="33"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9"/>
    </row>
    <row r="28" spans="1:21" x14ac:dyDescent="0.35">
      <c r="A28" s="5"/>
      <c r="B28" s="3"/>
      <c r="C28" s="4"/>
      <c r="D28" s="4"/>
      <c r="E28" s="4"/>
      <c r="F28" s="4"/>
      <c r="G28" s="33"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9"/>
    </row>
    <row r="29" spans="1:21" x14ac:dyDescent="0.35">
      <c r="A29" s="5"/>
      <c r="B29" s="3"/>
      <c r="C29" s="4"/>
      <c r="D29" s="4"/>
      <c r="E29" s="4"/>
      <c r="F29" s="4"/>
      <c r="G29" s="33"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9"/>
    </row>
    <row r="30" spans="1:21" x14ac:dyDescent="0.35">
      <c r="A30" s="5"/>
      <c r="B30" s="3"/>
      <c r="C30" s="4"/>
      <c r="D30" s="4"/>
      <c r="E30" s="4"/>
      <c r="F30" s="4"/>
      <c r="G30" s="33"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9"/>
    </row>
    <row r="31" spans="1:21" x14ac:dyDescent="0.35">
      <c r="A31" s="5"/>
      <c r="B31" s="3"/>
      <c r="C31" s="4"/>
      <c r="D31" s="4"/>
      <c r="E31" s="4"/>
      <c r="F31" s="4"/>
      <c r="G31" s="33"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9"/>
    </row>
    <row r="32" spans="1:21" x14ac:dyDescent="0.35">
      <c r="A32" s="5"/>
      <c r="B32" s="3"/>
      <c r="C32" s="4"/>
      <c r="D32" s="4"/>
      <c r="E32" s="4"/>
      <c r="F32" s="4"/>
      <c r="G32" s="33"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9"/>
    </row>
    <row r="33" spans="1:21" x14ac:dyDescent="0.35">
      <c r="A33" s="5"/>
      <c r="B33" s="3"/>
      <c r="C33" s="4"/>
      <c r="D33" s="4"/>
      <c r="E33" s="4"/>
      <c r="F33" s="4"/>
      <c r="G33" s="33"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9"/>
    </row>
    <row r="34" spans="1:21" x14ac:dyDescent="0.35">
      <c r="A34" s="5"/>
      <c r="B34" s="3"/>
      <c r="C34" s="4"/>
      <c r="D34" s="4"/>
      <c r="E34" s="4"/>
      <c r="F34" s="4"/>
      <c r="G34" s="33"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9"/>
    </row>
    <row r="35" spans="1:21" x14ac:dyDescent="0.35">
      <c r="A35" s="5"/>
      <c r="B35" s="3"/>
      <c r="C35" s="4"/>
      <c r="D35" s="4"/>
      <c r="E35" s="4"/>
      <c r="F35" s="4"/>
      <c r="G35" s="33"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9"/>
    </row>
    <row r="36" spans="1:21" x14ac:dyDescent="0.35">
      <c r="A36" s="5"/>
      <c r="B36" s="3"/>
      <c r="C36" s="4"/>
      <c r="D36" s="4"/>
      <c r="E36" s="4"/>
      <c r="F36" s="4"/>
      <c r="G36" s="33"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9"/>
    </row>
    <row r="37" spans="1:21" x14ac:dyDescent="0.35">
      <c r="A37" s="5"/>
      <c r="B37" s="3"/>
      <c r="C37" s="4"/>
      <c r="D37" s="4"/>
      <c r="E37" s="4"/>
      <c r="F37" s="4"/>
      <c r="G37" s="33"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9"/>
    </row>
    <row r="38" spans="1:21" x14ac:dyDescent="0.35">
      <c r="A38" s="5"/>
      <c r="B38" s="3"/>
      <c r="C38" s="4"/>
      <c r="D38" s="4"/>
      <c r="E38" s="4"/>
      <c r="F38" s="4"/>
      <c r="G38" s="33"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9"/>
    </row>
    <row r="39" spans="1:21" x14ac:dyDescent="0.35">
      <c r="A39" s="5"/>
      <c r="B39" s="3"/>
      <c r="C39" s="4"/>
      <c r="D39" s="4"/>
      <c r="E39" s="4"/>
      <c r="F39" s="4"/>
      <c r="G39" s="33"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9"/>
    </row>
    <row r="40" spans="1:21" x14ac:dyDescent="0.35">
      <c r="A40" s="5"/>
      <c r="B40" s="3"/>
      <c r="C40" s="4"/>
      <c r="D40" s="4"/>
      <c r="E40" s="4"/>
      <c r="F40" s="4"/>
      <c r="G40" s="33"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9"/>
    </row>
    <row r="41" spans="1:21" x14ac:dyDescent="0.35">
      <c r="A41" s="5"/>
      <c r="B41" s="3"/>
      <c r="C41" s="4"/>
      <c r="D41" s="4"/>
      <c r="E41" s="4"/>
      <c r="F41" s="4"/>
      <c r="G41" s="33"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9"/>
    </row>
    <row r="42" spans="1:21" x14ac:dyDescent="0.35">
      <c r="A42" s="5"/>
      <c r="B42" s="3"/>
      <c r="C42" s="4"/>
      <c r="D42" s="4"/>
      <c r="E42" s="4"/>
      <c r="F42" s="4"/>
      <c r="G42" s="33"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9"/>
    </row>
    <row r="43" spans="1:21" x14ac:dyDescent="0.35">
      <c r="A43" s="5"/>
      <c r="B43" s="3"/>
      <c r="C43" s="4"/>
      <c r="D43" s="4"/>
      <c r="E43" s="4"/>
      <c r="F43" s="4"/>
      <c r="G43" s="33"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9"/>
    </row>
    <row r="44" spans="1:21" x14ac:dyDescent="0.35">
      <c r="A44" s="5"/>
      <c r="B44" s="3"/>
      <c r="C44" s="4"/>
      <c r="D44" s="4"/>
      <c r="E44" s="4"/>
      <c r="F44" s="4"/>
      <c r="G44" s="33"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9"/>
    </row>
    <row r="45" spans="1:21" x14ac:dyDescent="0.35">
      <c r="A45" s="5"/>
      <c r="B45" s="3"/>
      <c r="C45" s="4"/>
      <c r="D45" s="4"/>
      <c r="E45" s="4"/>
      <c r="F45" s="4"/>
      <c r="G45" s="33"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9"/>
    </row>
    <row r="46" spans="1:21" x14ac:dyDescent="0.35">
      <c r="A46" s="5"/>
      <c r="B46" s="3"/>
      <c r="C46" s="4"/>
      <c r="D46" s="4"/>
      <c r="E46" s="4"/>
      <c r="F46" s="4"/>
      <c r="G46" s="33"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9"/>
    </row>
    <row r="47" spans="1:21" x14ac:dyDescent="0.35">
      <c r="A47" s="5"/>
      <c r="B47" s="3"/>
      <c r="C47" s="4"/>
      <c r="D47" s="4"/>
      <c r="E47" s="4"/>
      <c r="F47" s="4"/>
      <c r="G47" s="33"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9"/>
    </row>
    <row r="48" spans="1:21" x14ac:dyDescent="0.35">
      <c r="A48" s="5"/>
      <c r="B48" s="3"/>
      <c r="C48" s="4"/>
      <c r="D48" s="4"/>
      <c r="E48" s="4"/>
      <c r="F48" s="4"/>
      <c r="G48" s="33"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9"/>
    </row>
    <row r="49" spans="1:21" x14ac:dyDescent="0.35">
      <c r="A49" s="5"/>
      <c r="B49" s="3"/>
      <c r="C49" s="4"/>
      <c r="D49" s="4"/>
      <c r="E49" s="4"/>
      <c r="F49" s="4"/>
      <c r="G49" s="33"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9"/>
    </row>
    <row r="50" spans="1:21" x14ac:dyDescent="0.35">
      <c r="A50" s="5"/>
      <c r="B50" s="3"/>
      <c r="C50" s="4"/>
      <c r="D50" s="4"/>
      <c r="E50" s="4"/>
      <c r="F50" s="4"/>
      <c r="G50" s="33"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9"/>
    </row>
    <row r="51" spans="1:21" x14ac:dyDescent="0.35">
      <c r="A51" s="5"/>
      <c r="B51" s="3"/>
      <c r="C51" s="4"/>
      <c r="D51" s="4"/>
      <c r="E51" s="4"/>
      <c r="F51" s="4"/>
      <c r="G51" s="33"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9"/>
    </row>
    <row r="52" spans="1:21" x14ac:dyDescent="0.35">
      <c r="A52" s="5"/>
      <c r="B52" s="3"/>
      <c r="C52" s="4"/>
      <c r="D52" s="4"/>
      <c r="E52" s="4"/>
      <c r="F52" s="4"/>
      <c r="G52" s="33"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9"/>
    </row>
    <row r="53" spans="1:21" x14ac:dyDescent="0.35">
      <c r="A53" s="5"/>
      <c r="B53" s="3"/>
      <c r="C53" s="4"/>
      <c r="D53" s="4"/>
      <c r="E53" s="4"/>
      <c r="F53" s="4"/>
      <c r="G53" s="33"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9"/>
    </row>
    <row r="54" spans="1:21" x14ac:dyDescent="0.35">
      <c r="A54" s="5"/>
      <c r="B54" s="3"/>
      <c r="C54" s="4"/>
      <c r="D54" s="4"/>
      <c r="E54" s="4"/>
      <c r="F54" s="4"/>
      <c r="G54" s="33"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9"/>
    </row>
    <row r="55" spans="1:21" x14ac:dyDescent="0.35">
      <c r="A55" s="5"/>
      <c r="B55" s="3"/>
      <c r="C55" s="4"/>
      <c r="D55" s="4"/>
      <c r="E55" s="4"/>
      <c r="F55" s="4"/>
      <c r="G55" s="33"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9"/>
    </row>
    <row r="56" spans="1:21" x14ac:dyDescent="0.35">
      <c r="A56" s="5"/>
      <c r="B56" s="3"/>
      <c r="C56" s="4"/>
      <c r="D56" s="4"/>
      <c r="E56" s="4"/>
      <c r="F56" s="4"/>
      <c r="G56" s="33"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9"/>
    </row>
    <row r="57" spans="1:21" x14ac:dyDescent="0.35">
      <c r="A57" s="5"/>
      <c r="B57" s="3"/>
      <c r="C57" s="4"/>
      <c r="D57" s="4"/>
      <c r="E57" s="4"/>
      <c r="F57" s="4"/>
      <c r="G57" s="33"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9"/>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C6A98874-0472-4E94-BF37-CA1CCA4D1907}">
          <x14:formula1>
            <xm:f>Definitions!$B$44:$O$44</xm:f>
          </x14:formula1>
          <xm:sqref>R2:R1048576</xm:sqref>
        </x14:dataValidation>
        <x14:dataValidation type="list" allowBlank="1" showInputMessage="1" showErrorMessage="1" xr:uid="{E60C1D8D-FF08-44F5-97E2-19E2F6EE1003}">
          <x14:formula1>
            <xm:f>Definitions!$B$46:$J$46</xm:f>
          </x14:formula1>
          <xm:sqref>T2:T1048576</xm:sqref>
        </x14:dataValidation>
        <x14:dataValidation type="list" allowBlank="1" showInputMessage="1" showErrorMessage="1" xr:uid="{1E86E431-78A1-41E9-BBCD-274B82BB5BEB}">
          <x14:formula1>
            <xm:f>'Data Tags'!$B$9:$C$9</xm:f>
          </x14:formula1>
          <xm:sqref>H2:H1048576</xm:sqref>
        </x14:dataValidation>
        <x14:dataValidation type="list" allowBlank="1" showInputMessage="1" showErrorMessage="1" xr:uid="{5DB4706E-EC57-45C5-B0CD-955A94A9D418}">
          <x14:formula1>
            <xm:f>'Data Tags'!$B$10:$U$10</xm:f>
          </x14:formula1>
          <xm:sqref>I2:I1048576</xm:sqref>
        </x14:dataValidation>
        <x14:dataValidation type="list" allowBlank="1" showInputMessage="1" showErrorMessage="1" xr:uid="{A65B49A4-AB79-4A9E-AF0D-782B06A7335F}">
          <x14:formula1>
            <xm:f>'Data Tags'!$B$11:$C$11</xm:f>
          </x14:formula1>
          <xm:sqref>M2:M1048576</xm:sqref>
        </x14:dataValidation>
        <x14:dataValidation type="list" allowBlank="1" showInputMessage="1" showErrorMessage="1" xr:uid="{A8DA4C67-09AF-4FA0-A3BB-B21DCD2925A9}">
          <x14:formula1>
            <xm:f>'Data Tags'!$B$12:$D$12</xm:f>
          </x14:formula1>
          <xm:sqref>S2:S1048576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0B01-CAE2-4AAD-8743-6CCA21E0627D}">
  <sheetPr codeName="Sheet4"/>
  <dimension ref="A1:AA54"/>
  <sheetViews>
    <sheetView workbookViewId="0">
      <selection activeCell="V2" sqref="V2"/>
    </sheetView>
  </sheetViews>
  <sheetFormatPr defaultRowHeight="14.5" x14ac:dyDescent="0.35"/>
  <cols>
    <col min="1" max="22" width="8.7265625" style="18"/>
    <col min="23" max="23" width="8.7265625" style="16"/>
    <col min="24" max="25" width="8.7265625" style="17"/>
    <col min="26" max="27" width="8.7265625" style="18"/>
  </cols>
  <sheetData>
    <row r="1" spans="1:27" x14ac:dyDescent="0.35">
      <c r="A1" s="18" t="s">
        <v>111</v>
      </c>
      <c r="B1" s="28" t="s">
        <v>28</v>
      </c>
      <c r="C1" s="18" t="s">
        <v>112</v>
      </c>
      <c r="D1" s="28" t="s">
        <v>23</v>
      </c>
      <c r="E1" s="18" t="s">
        <v>113</v>
      </c>
      <c r="F1" s="18" t="s">
        <v>114</v>
      </c>
      <c r="G1" s="18" t="s">
        <v>115</v>
      </c>
      <c r="H1" s="18" t="s">
        <v>178</v>
      </c>
      <c r="I1" s="18" t="s">
        <v>179</v>
      </c>
      <c r="J1" s="18" t="s">
        <v>180</v>
      </c>
      <c r="K1" s="18" t="s">
        <v>181</v>
      </c>
      <c r="L1" s="18" t="s">
        <v>182</v>
      </c>
      <c r="M1" s="18" t="s">
        <v>183</v>
      </c>
      <c r="N1" s="18" t="s">
        <v>184</v>
      </c>
      <c r="O1" s="18" t="s">
        <v>185</v>
      </c>
      <c r="P1" s="18" t="s">
        <v>186</v>
      </c>
      <c r="Q1" s="18" t="s">
        <v>187</v>
      </c>
      <c r="R1" s="18" t="s">
        <v>188</v>
      </c>
      <c r="S1" s="18" t="s">
        <v>123</v>
      </c>
      <c r="T1" s="18" t="s">
        <v>124</v>
      </c>
      <c r="U1" s="18" t="s">
        <v>125</v>
      </c>
      <c r="V1" s="18" t="s">
        <v>14</v>
      </c>
      <c r="W1" s="16" t="s">
        <v>195</v>
      </c>
      <c r="X1" s="17" t="s">
        <v>144</v>
      </c>
      <c r="Y1" s="17" t="s">
        <v>145</v>
      </c>
      <c r="Z1" s="18" t="s">
        <v>148</v>
      </c>
      <c r="AA1" s="18" t="s">
        <v>149</v>
      </c>
    </row>
    <row r="2" spans="1:27" x14ac:dyDescent="0.35">
      <c r="W2" s="16" t="e">
        <f>(T2-S2)/S2*100</f>
        <v>#DIV/0!</v>
      </c>
    </row>
    <row r="3" spans="1:27" x14ac:dyDescent="0.35">
      <c r="W3" s="16" t="e">
        <f t="shared" ref="W3:W54" si="0">(T3-S3)/S3*100</f>
        <v>#DIV/0!</v>
      </c>
    </row>
    <row r="4" spans="1:27" x14ac:dyDescent="0.35">
      <c r="W4" s="16" t="e">
        <f t="shared" si="0"/>
        <v>#DIV/0!</v>
      </c>
    </row>
    <row r="5" spans="1:27" x14ac:dyDescent="0.35">
      <c r="W5" s="16" t="e">
        <f t="shared" si="0"/>
        <v>#DIV/0!</v>
      </c>
    </row>
    <row r="6" spans="1:27" x14ac:dyDescent="0.35">
      <c r="W6" s="16" t="e">
        <f t="shared" si="0"/>
        <v>#DIV/0!</v>
      </c>
    </row>
    <row r="7" spans="1:27" x14ac:dyDescent="0.35">
      <c r="W7" s="16" t="e">
        <f t="shared" si="0"/>
        <v>#DIV/0!</v>
      </c>
    </row>
    <row r="8" spans="1:27" x14ac:dyDescent="0.35">
      <c r="W8" s="16" t="e">
        <f t="shared" si="0"/>
        <v>#DIV/0!</v>
      </c>
    </row>
    <row r="9" spans="1:27" x14ac:dyDescent="0.35">
      <c r="W9" s="16" t="e">
        <f t="shared" si="0"/>
        <v>#DIV/0!</v>
      </c>
    </row>
    <row r="10" spans="1:27" x14ac:dyDescent="0.35">
      <c r="W10" s="16" t="e">
        <f t="shared" si="0"/>
        <v>#DIV/0!</v>
      </c>
    </row>
    <row r="11" spans="1:27" x14ac:dyDescent="0.35">
      <c r="W11" s="16" t="e">
        <f t="shared" si="0"/>
        <v>#DIV/0!</v>
      </c>
    </row>
    <row r="12" spans="1:27" x14ac:dyDescent="0.35">
      <c r="W12" s="16" t="e">
        <f t="shared" si="0"/>
        <v>#DIV/0!</v>
      </c>
    </row>
    <row r="13" spans="1:27" x14ac:dyDescent="0.35">
      <c r="W13" s="16" t="e">
        <f t="shared" si="0"/>
        <v>#DIV/0!</v>
      </c>
    </row>
    <row r="14" spans="1:27" x14ac:dyDescent="0.35">
      <c r="W14" s="16" t="e">
        <f t="shared" si="0"/>
        <v>#DIV/0!</v>
      </c>
    </row>
    <row r="15" spans="1:27" x14ac:dyDescent="0.35">
      <c r="W15" s="16" t="e">
        <f t="shared" si="0"/>
        <v>#DIV/0!</v>
      </c>
    </row>
    <row r="16" spans="1:27" x14ac:dyDescent="0.35">
      <c r="W16" s="16" t="e">
        <f t="shared" si="0"/>
        <v>#DIV/0!</v>
      </c>
    </row>
    <row r="17" spans="23:23" x14ac:dyDescent="0.35">
      <c r="W17" s="16" t="e">
        <f t="shared" si="0"/>
        <v>#DIV/0!</v>
      </c>
    </row>
    <row r="18" spans="23:23" x14ac:dyDescent="0.35">
      <c r="W18" s="16" t="e">
        <f t="shared" si="0"/>
        <v>#DIV/0!</v>
      </c>
    </row>
    <row r="19" spans="23:23" x14ac:dyDescent="0.35">
      <c r="W19" s="16" t="e">
        <f t="shared" si="0"/>
        <v>#DIV/0!</v>
      </c>
    </row>
    <row r="20" spans="23:23" x14ac:dyDescent="0.35">
      <c r="W20" s="16" t="e">
        <f t="shared" si="0"/>
        <v>#DIV/0!</v>
      </c>
    </row>
    <row r="21" spans="23:23" x14ac:dyDescent="0.35">
      <c r="W21" s="16" t="e">
        <f t="shared" si="0"/>
        <v>#DIV/0!</v>
      </c>
    </row>
    <row r="22" spans="23:23" x14ac:dyDescent="0.35">
      <c r="W22" s="16" t="e">
        <f t="shared" si="0"/>
        <v>#DIV/0!</v>
      </c>
    </row>
    <row r="23" spans="23:23" x14ac:dyDescent="0.35">
      <c r="W23" s="16" t="e">
        <f t="shared" si="0"/>
        <v>#DIV/0!</v>
      </c>
    </row>
    <row r="24" spans="23:23" x14ac:dyDescent="0.35">
      <c r="W24" s="16" t="e">
        <f t="shared" si="0"/>
        <v>#DIV/0!</v>
      </c>
    </row>
    <row r="25" spans="23:23" x14ac:dyDescent="0.35">
      <c r="W25" s="16" t="e">
        <f t="shared" si="0"/>
        <v>#DIV/0!</v>
      </c>
    </row>
    <row r="26" spans="23:23" x14ac:dyDescent="0.35">
      <c r="W26" s="16" t="e">
        <f t="shared" si="0"/>
        <v>#DIV/0!</v>
      </c>
    </row>
    <row r="27" spans="23:23" x14ac:dyDescent="0.35">
      <c r="W27" s="16" t="e">
        <f t="shared" si="0"/>
        <v>#DIV/0!</v>
      </c>
    </row>
    <row r="28" spans="23:23" x14ac:dyDescent="0.35">
      <c r="W28" s="16" t="e">
        <f t="shared" si="0"/>
        <v>#DIV/0!</v>
      </c>
    </row>
    <row r="29" spans="23:23" x14ac:dyDescent="0.35">
      <c r="W29" s="16" t="e">
        <f t="shared" si="0"/>
        <v>#DIV/0!</v>
      </c>
    </row>
    <row r="30" spans="23:23" x14ac:dyDescent="0.35">
      <c r="W30" s="16" t="e">
        <f t="shared" si="0"/>
        <v>#DIV/0!</v>
      </c>
    </row>
    <row r="31" spans="23:23" x14ac:dyDescent="0.35">
      <c r="W31" s="16" t="e">
        <f t="shared" si="0"/>
        <v>#DIV/0!</v>
      </c>
    </row>
    <row r="32" spans="23:23" x14ac:dyDescent="0.35">
      <c r="W32" s="16" t="e">
        <f t="shared" si="0"/>
        <v>#DIV/0!</v>
      </c>
    </row>
    <row r="33" spans="23:23" x14ac:dyDescent="0.35">
      <c r="W33" s="16" t="e">
        <f t="shared" si="0"/>
        <v>#DIV/0!</v>
      </c>
    </row>
    <row r="34" spans="23:23" x14ac:dyDescent="0.35">
      <c r="W34" s="16" t="e">
        <f t="shared" si="0"/>
        <v>#DIV/0!</v>
      </c>
    </row>
    <row r="35" spans="23:23" x14ac:dyDescent="0.35">
      <c r="W35" s="16" t="e">
        <f t="shared" si="0"/>
        <v>#DIV/0!</v>
      </c>
    </row>
    <row r="36" spans="23:23" x14ac:dyDescent="0.35">
      <c r="W36" s="16" t="e">
        <f t="shared" si="0"/>
        <v>#DIV/0!</v>
      </c>
    </row>
    <row r="37" spans="23:23" x14ac:dyDescent="0.35">
      <c r="W37" s="16" t="e">
        <f t="shared" si="0"/>
        <v>#DIV/0!</v>
      </c>
    </row>
    <row r="38" spans="23:23" x14ac:dyDescent="0.35">
      <c r="W38" s="16" t="e">
        <f t="shared" si="0"/>
        <v>#DIV/0!</v>
      </c>
    </row>
    <row r="39" spans="23:23" x14ac:dyDescent="0.35">
      <c r="W39" s="16" t="e">
        <f t="shared" si="0"/>
        <v>#DIV/0!</v>
      </c>
    </row>
    <row r="40" spans="23:23" x14ac:dyDescent="0.35">
      <c r="W40" s="16" t="e">
        <f t="shared" si="0"/>
        <v>#DIV/0!</v>
      </c>
    </row>
    <row r="41" spans="23:23" x14ac:dyDescent="0.35">
      <c r="W41" s="16" t="e">
        <f t="shared" si="0"/>
        <v>#DIV/0!</v>
      </c>
    </row>
    <row r="42" spans="23:23" x14ac:dyDescent="0.35">
      <c r="W42" s="16" t="e">
        <f t="shared" si="0"/>
        <v>#DIV/0!</v>
      </c>
    </row>
    <row r="43" spans="23:23" x14ac:dyDescent="0.35">
      <c r="W43" s="16" t="e">
        <f t="shared" si="0"/>
        <v>#DIV/0!</v>
      </c>
    </row>
    <row r="44" spans="23:23" x14ac:dyDescent="0.35">
      <c r="W44" s="16" t="e">
        <f t="shared" si="0"/>
        <v>#DIV/0!</v>
      </c>
    </row>
    <row r="45" spans="23:23" x14ac:dyDescent="0.35">
      <c r="W45" s="16" t="e">
        <f t="shared" si="0"/>
        <v>#DIV/0!</v>
      </c>
    </row>
    <row r="46" spans="23:23" x14ac:dyDescent="0.35">
      <c r="W46" s="16" t="e">
        <f t="shared" si="0"/>
        <v>#DIV/0!</v>
      </c>
    </row>
    <row r="47" spans="23:23" x14ac:dyDescent="0.35">
      <c r="W47" s="16" t="e">
        <f t="shared" si="0"/>
        <v>#DIV/0!</v>
      </c>
    </row>
    <row r="48" spans="23:23" x14ac:dyDescent="0.35">
      <c r="W48" s="16" t="e">
        <f t="shared" si="0"/>
        <v>#DIV/0!</v>
      </c>
    </row>
    <row r="49" spans="23:23" x14ac:dyDescent="0.35">
      <c r="W49" s="16" t="e">
        <f t="shared" si="0"/>
        <v>#DIV/0!</v>
      </c>
    </row>
    <row r="50" spans="23:23" x14ac:dyDescent="0.35">
      <c r="W50" s="16" t="e">
        <f t="shared" si="0"/>
        <v>#DIV/0!</v>
      </c>
    </row>
    <row r="51" spans="23:23" x14ac:dyDescent="0.35">
      <c r="W51" s="16" t="e">
        <f t="shared" si="0"/>
        <v>#DIV/0!</v>
      </c>
    </row>
    <row r="52" spans="23:23" x14ac:dyDescent="0.35">
      <c r="W52" s="16" t="e">
        <f t="shared" si="0"/>
        <v>#DIV/0!</v>
      </c>
    </row>
    <row r="53" spans="23:23" x14ac:dyDescent="0.35">
      <c r="W53" s="16" t="e">
        <f t="shared" si="0"/>
        <v>#DIV/0!</v>
      </c>
    </row>
    <row r="54" spans="23:23" x14ac:dyDescent="0.35">
      <c r="W54" s="16" t="e">
        <f t="shared" si="0"/>
        <v>#DIV/0!</v>
      </c>
    </row>
  </sheetData>
  <phoneticPr fontId="9"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41338D9-AD8C-492A-A63D-6D6C5707FDCD}">
          <x14:formula1>
            <xm:f>'Data Tags'!$B$16:$P$16</xm:f>
          </x14:formula1>
          <xm:sqref>D2:D1048576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8923-1C5F-4A08-91BD-1FB33E12DFCE}">
  <sheetPr codeName="Sheet5"/>
  <dimension ref="A1:Q57"/>
  <sheetViews>
    <sheetView workbookViewId="0">
      <selection activeCell="O15" sqref="O15"/>
    </sheetView>
  </sheetViews>
  <sheetFormatPr defaultRowHeight="14.5" x14ac:dyDescent="0.35"/>
  <cols>
    <col min="2" max="2" width="11.81640625" style="18" customWidth="1"/>
    <col min="3" max="11" width="8.7265625" style="18"/>
    <col min="12" max="12" width="13.7265625" customWidth="1"/>
    <col min="13" max="13" width="10.54296875" customWidth="1"/>
    <col min="14" max="16" width="10.08984375" customWidth="1"/>
  </cols>
  <sheetData>
    <row r="1" spans="1:17" x14ac:dyDescent="0.35">
      <c r="A1" s="23" t="s">
        <v>28</v>
      </c>
      <c r="B1" s="23" t="s">
        <v>7</v>
      </c>
      <c r="C1" s="26" t="s">
        <v>115</v>
      </c>
      <c r="D1" s="21" t="s">
        <v>31</v>
      </c>
      <c r="E1" s="21" t="s">
        <v>120</v>
      </c>
      <c r="F1" s="21" t="s">
        <v>123</v>
      </c>
      <c r="G1" s="21" t="s">
        <v>124</v>
      </c>
      <c r="H1" s="23" t="s">
        <v>125</v>
      </c>
      <c r="I1" s="23" t="s">
        <v>27</v>
      </c>
      <c r="J1" s="21" t="s">
        <v>111</v>
      </c>
      <c r="K1" s="21" t="s">
        <v>32</v>
      </c>
      <c r="L1" s="21" t="s">
        <v>23</v>
      </c>
      <c r="M1" s="21" t="s">
        <v>24</v>
      </c>
      <c r="N1" s="21" t="s">
        <v>369</v>
      </c>
      <c r="O1" s="32" t="s">
        <v>38</v>
      </c>
      <c r="P1" s="29" t="s">
        <v>39</v>
      </c>
      <c r="Q1" s="29" t="s">
        <v>376</v>
      </c>
    </row>
    <row r="2" spans="1:17" x14ac:dyDescent="0.35">
      <c r="A2" s="24"/>
      <c r="B2" s="24"/>
      <c r="C2" s="26"/>
      <c r="D2" s="21"/>
      <c r="E2" s="21"/>
      <c r="F2" s="21"/>
      <c r="G2" s="21"/>
      <c r="H2" s="23"/>
      <c r="I2" s="23"/>
      <c r="J2" s="21"/>
      <c r="K2" s="2"/>
      <c r="L2" s="2"/>
      <c r="M2" s="2"/>
      <c r="N2" s="2" t="s">
        <v>219</v>
      </c>
      <c r="O2" s="2"/>
      <c r="P2" s="2"/>
      <c r="Q2" s="19"/>
    </row>
    <row r="3" spans="1:17" x14ac:dyDescent="0.35">
      <c r="A3" s="24"/>
      <c r="B3" s="24"/>
      <c r="C3" s="26"/>
      <c r="D3" s="21"/>
      <c r="E3" s="21"/>
      <c r="F3" s="21"/>
      <c r="G3" s="21"/>
      <c r="H3" s="23"/>
      <c r="I3" s="23"/>
      <c r="J3" s="21"/>
      <c r="K3" s="2"/>
      <c r="L3" s="2"/>
      <c r="M3" s="2"/>
      <c r="N3" s="2"/>
      <c r="O3" s="2"/>
      <c r="P3" s="2"/>
      <c r="Q3" s="19"/>
    </row>
    <row r="4" spans="1:17" x14ac:dyDescent="0.35">
      <c r="A4" s="24"/>
      <c r="B4" s="24"/>
      <c r="C4" s="26"/>
      <c r="D4" s="21"/>
      <c r="E4" s="21"/>
      <c r="F4" s="21"/>
      <c r="G4" s="21"/>
      <c r="H4" s="23"/>
      <c r="I4" s="23"/>
      <c r="J4" s="21"/>
      <c r="K4" s="2"/>
      <c r="L4" s="2"/>
      <c r="M4" s="2"/>
      <c r="N4" s="2"/>
      <c r="O4" s="2"/>
      <c r="P4" s="2"/>
      <c r="Q4" s="19"/>
    </row>
    <row r="5" spans="1:17" x14ac:dyDescent="0.35">
      <c r="A5" s="24"/>
      <c r="B5" s="24"/>
      <c r="C5" s="26"/>
      <c r="D5" s="21"/>
      <c r="E5" s="21"/>
      <c r="F5" s="21"/>
      <c r="G5" s="21"/>
      <c r="H5" s="23"/>
      <c r="I5" s="23"/>
      <c r="J5" s="21"/>
      <c r="K5" s="2"/>
      <c r="L5" s="2"/>
      <c r="M5" s="2"/>
      <c r="N5" s="2"/>
      <c r="O5" s="2"/>
      <c r="P5" s="2"/>
      <c r="Q5" s="19"/>
    </row>
    <row r="6" spans="1:17" x14ac:dyDescent="0.35">
      <c r="A6" s="24"/>
      <c r="B6" s="24"/>
      <c r="C6" s="26"/>
      <c r="D6" s="21"/>
      <c r="E6" s="21"/>
      <c r="F6" s="21"/>
      <c r="G6" s="21"/>
      <c r="H6" s="23"/>
      <c r="I6" s="23"/>
      <c r="J6" s="21"/>
      <c r="K6" s="2"/>
      <c r="L6" s="2"/>
      <c r="M6" s="2"/>
      <c r="N6" s="2"/>
      <c r="O6" s="2"/>
      <c r="P6" s="2"/>
      <c r="Q6" s="19"/>
    </row>
    <row r="7" spans="1:17" x14ac:dyDescent="0.35">
      <c r="A7" s="24"/>
      <c r="B7" s="24"/>
      <c r="C7" s="26"/>
      <c r="D7" s="21"/>
      <c r="E7" s="21"/>
      <c r="F7" s="21"/>
      <c r="G7" s="21"/>
      <c r="H7" s="23"/>
      <c r="I7" s="23"/>
      <c r="J7" s="21"/>
      <c r="K7" s="2"/>
      <c r="L7" s="2"/>
      <c r="M7" s="2"/>
      <c r="N7" s="2"/>
      <c r="O7" s="2"/>
      <c r="P7" s="2"/>
      <c r="Q7" s="19"/>
    </row>
    <row r="8" spans="1:17" x14ac:dyDescent="0.35">
      <c r="A8" s="24"/>
      <c r="B8" s="24"/>
      <c r="C8" s="26"/>
      <c r="D8" s="21"/>
      <c r="E8" s="21"/>
      <c r="F8" s="21"/>
      <c r="G8" s="21"/>
      <c r="H8" s="23"/>
      <c r="I8" s="23"/>
      <c r="J8" s="21"/>
      <c r="K8" s="2"/>
      <c r="L8" s="2"/>
      <c r="M8" s="2"/>
      <c r="N8" s="2"/>
      <c r="O8" s="2"/>
      <c r="P8" s="2"/>
      <c r="Q8" s="19"/>
    </row>
    <row r="9" spans="1:17" x14ac:dyDescent="0.35">
      <c r="A9" s="24"/>
      <c r="B9" s="24"/>
      <c r="C9" s="26"/>
      <c r="D9" s="21"/>
      <c r="E9" s="21"/>
      <c r="F9" s="21"/>
      <c r="G9" s="21"/>
      <c r="H9" s="23"/>
      <c r="I9" s="23"/>
      <c r="J9" s="21"/>
      <c r="K9" s="2"/>
      <c r="L9" s="2"/>
      <c r="M9" s="2"/>
      <c r="N9" s="2"/>
      <c r="O9" s="2"/>
      <c r="P9" s="2"/>
      <c r="Q9" s="19"/>
    </row>
    <row r="10" spans="1:17" x14ac:dyDescent="0.35">
      <c r="A10" s="24"/>
      <c r="B10" s="24"/>
      <c r="C10" s="26"/>
      <c r="D10" s="21"/>
      <c r="E10" s="21"/>
      <c r="F10" s="21"/>
      <c r="G10" s="21"/>
      <c r="H10" s="23"/>
      <c r="I10" s="23"/>
      <c r="J10" s="21"/>
      <c r="K10" s="2"/>
      <c r="L10" s="2"/>
      <c r="M10" s="2"/>
      <c r="N10" s="2"/>
      <c r="O10" s="2"/>
      <c r="P10" s="2"/>
      <c r="Q10" s="19"/>
    </row>
    <row r="11" spans="1:17" x14ac:dyDescent="0.35">
      <c r="A11" s="24"/>
      <c r="B11" s="24"/>
      <c r="C11" s="26"/>
      <c r="D11" s="21"/>
      <c r="E11" s="21"/>
      <c r="F11" s="21"/>
      <c r="G11" s="21"/>
      <c r="H11" s="23"/>
      <c r="I11" s="23"/>
      <c r="J11" s="21"/>
      <c r="K11" s="2"/>
      <c r="L11" s="2"/>
      <c r="M11" s="2"/>
      <c r="N11" s="2"/>
      <c r="O11" s="2"/>
      <c r="P11" s="2"/>
      <c r="Q11" s="19"/>
    </row>
    <row r="12" spans="1:17" x14ac:dyDescent="0.35">
      <c r="A12" s="24"/>
      <c r="B12" s="24"/>
      <c r="C12" s="26"/>
      <c r="D12" s="21"/>
      <c r="E12" s="21"/>
      <c r="F12" s="21"/>
      <c r="G12" s="21"/>
      <c r="H12" s="23"/>
      <c r="I12" s="23"/>
      <c r="J12" s="21"/>
      <c r="K12" s="2"/>
      <c r="L12" s="2"/>
      <c r="M12" s="2"/>
      <c r="N12" s="2"/>
      <c r="O12" s="2"/>
      <c r="P12" s="2"/>
      <c r="Q12" s="19"/>
    </row>
    <row r="13" spans="1:17" x14ac:dyDescent="0.35">
      <c r="A13" s="24"/>
      <c r="B13" s="24"/>
      <c r="C13" s="26"/>
      <c r="D13" s="21"/>
      <c r="E13" s="21"/>
      <c r="F13" s="21"/>
      <c r="G13" s="21"/>
      <c r="H13" s="23"/>
      <c r="I13" s="23"/>
      <c r="J13" s="21"/>
      <c r="K13" s="2"/>
      <c r="L13" s="2"/>
      <c r="M13" s="2"/>
      <c r="N13" s="2"/>
      <c r="O13" s="2"/>
      <c r="P13" s="2"/>
      <c r="Q13" s="19"/>
    </row>
    <row r="14" spans="1:17" x14ac:dyDescent="0.35">
      <c r="A14" s="24"/>
      <c r="B14" s="24"/>
      <c r="C14" s="26"/>
      <c r="D14" s="21"/>
      <c r="E14" s="21"/>
      <c r="F14" s="21"/>
      <c r="G14" s="21"/>
      <c r="H14" s="23"/>
      <c r="I14" s="23"/>
      <c r="J14" s="21"/>
      <c r="K14" s="2"/>
      <c r="L14" s="2"/>
      <c r="M14" s="2"/>
      <c r="N14" s="2"/>
      <c r="O14" s="2"/>
      <c r="P14" s="2"/>
      <c r="Q14" s="19"/>
    </row>
    <row r="15" spans="1:17" x14ac:dyDescent="0.35">
      <c r="A15" s="24"/>
      <c r="B15" s="24"/>
      <c r="C15" s="26"/>
      <c r="D15" s="21"/>
      <c r="E15" s="21"/>
      <c r="F15" s="21"/>
      <c r="G15" s="21"/>
      <c r="H15" s="23"/>
      <c r="I15" s="23"/>
      <c r="J15" s="21"/>
      <c r="K15" s="2"/>
      <c r="L15" s="2"/>
      <c r="M15" s="2"/>
      <c r="N15" s="2"/>
      <c r="O15" s="2"/>
      <c r="P15" s="2"/>
      <c r="Q15" s="19"/>
    </row>
    <row r="16" spans="1:17" x14ac:dyDescent="0.35">
      <c r="A16" s="24"/>
      <c r="B16" s="24"/>
      <c r="C16" s="26"/>
      <c r="D16" s="21"/>
      <c r="E16" s="21"/>
      <c r="F16" s="21"/>
      <c r="G16" s="21"/>
      <c r="H16" s="23"/>
      <c r="I16" s="23"/>
      <c r="J16" s="21"/>
      <c r="K16" s="2"/>
      <c r="L16" s="2"/>
      <c r="M16" s="2"/>
      <c r="N16" s="2"/>
      <c r="O16" s="2"/>
      <c r="P16" s="2"/>
      <c r="Q16" s="19"/>
    </row>
    <row r="17" spans="1:17" x14ac:dyDescent="0.35">
      <c r="A17" s="24"/>
      <c r="B17" s="24"/>
      <c r="C17" s="26"/>
      <c r="D17" s="21"/>
      <c r="E17" s="21"/>
      <c r="F17" s="21"/>
      <c r="G17" s="21"/>
      <c r="H17" s="23"/>
      <c r="I17" s="23"/>
      <c r="J17" s="21"/>
      <c r="K17" s="2"/>
      <c r="L17" s="2"/>
      <c r="M17" s="2"/>
      <c r="N17" s="2"/>
      <c r="O17" s="2"/>
      <c r="P17" s="2"/>
      <c r="Q17" s="19"/>
    </row>
    <row r="18" spans="1:17" x14ac:dyDescent="0.35">
      <c r="A18" s="24"/>
      <c r="B18" s="24"/>
      <c r="C18" s="26"/>
      <c r="D18" s="21"/>
      <c r="E18" s="21"/>
      <c r="F18" s="21"/>
      <c r="G18" s="21"/>
      <c r="H18" s="23"/>
      <c r="I18" s="23"/>
      <c r="J18" s="21"/>
      <c r="K18" s="2"/>
      <c r="L18" s="2"/>
      <c r="M18" s="2"/>
      <c r="N18" s="2"/>
      <c r="O18" s="2"/>
      <c r="P18" s="2"/>
      <c r="Q18" s="19"/>
    </row>
    <row r="19" spans="1:17" x14ac:dyDescent="0.35">
      <c r="A19" s="24"/>
      <c r="B19" s="24"/>
      <c r="C19" s="26"/>
      <c r="D19" s="21"/>
      <c r="E19" s="21"/>
      <c r="F19" s="21"/>
      <c r="G19" s="21"/>
      <c r="H19" s="23"/>
      <c r="I19" s="23"/>
      <c r="J19" s="21"/>
      <c r="K19" s="2"/>
      <c r="L19" s="2"/>
      <c r="M19" s="2"/>
      <c r="N19" s="2"/>
      <c r="O19" s="2"/>
      <c r="P19" s="2"/>
      <c r="Q19" s="19"/>
    </row>
    <row r="20" spans="1:17" x14ac:dyDescent="0.35">
      <c r="A20" s="24"/>
      <c r="B20" s="24"/>
      <c r="C20" s="26"/>
      <c r="D20" s="21"/>
      <c r="E20" s="21"/>
      <c r="F20" s="21"/>
      <c r="G20" s="21"/>
      <c r="H20" s="23"/>
      <c r="I20" s="23"/>
      <c r="J20" s="21"/>
      <c r="K20" s="2"/>
      <c r="L20" s="2"/>
      <c r="M20" s="2"/>
      <c r="N20" s="2"/>
      <c r="O20" s="2"/>
      <c r="P20" s="2"/>
      <c r="Q20" s="19"/>
    </row>
    <row r="21" spans="1:17" x14ac:dyDescent="0.35">
      <c r="A21" s="25"/>
      <c r="B21" s="25"/>
      <c r="C21" s="27"/>
      <c r="D21" s="22"/>
      <c r="E21" s="22"/>
      <c r="F21" s="22"/>
      <c r="G21" s="22"/>
      <c r="H21" s="25"/>
      <c r="I21" s="25"/>
      <c r="J21" s="22"/>
      <c r="K21" s="10"/>
      <c r="L21" s="10"/>
      <c r="M21" s="10"/>
      <c r="N21" s="10"/>
      <c r="O21" s="10"/>
      <c r="P21" s="2"/>
      <c r="Q21" s="19"/>
    </row>
    <row r="22" spans="1:17" x14ac:dyDescent="0.35">
      <c r="A22" s="24"/>
      <c r="B22" s="24"/>
      <c r="C22" s="26"/>
      <c r="D22" s="21"/>
      <c r="E22" s="21"/>
      <c r="F22" s="21"/>
      <c r="G22" s="21"/>
      <c r="H22" s="23"/>
      <c r="I22" s="23"/>
      <c r="J22" s="21"/>
      <c r="K22" s="2"/>
      <c r="L22" s="2"/>
      <c r="M22" s="2"/>
      <c r="N22" s="2"/>
      <c r="O22" s="2"/>
      <c r="P22" s="2"/>
      <c r="Q22" s="19"/>
    </row>
    <row r="23" spans="1:17" x14ac:dyDescent="0.35">
      <c r="A23" s="24"/>
      <c r="B23" s="24"/>
      <c r="C23" s="26"/>
      <c r="D23" s="21"/>
      <c r="E23" s="21"/>
      <c r="F23" s="21"/>
      <c r="G23" s="21"/>
      <c r="H23" s="23"/>
      <c r="I23" s="23"/>
      <c r="J23" s="21"/>
      <c r="K23" s="2"/>
      <c r="L23" s="2"/>
      <c r="M23" s="2"/>
      <c r="N23" s="2"/>
      <c r="O23" s="2"/>
      <c r="P23" s="2"/>
      <c r="Q23" s="19"/>
    </row>
    <row r="24" spans="1:17" x14ac:dyDescent="0.35">
      <c r="A24" s="24"/>
      <c r="B24" s="24"/>
      <c r="C24" s="26"/>
      <c r="D24" s="21"/>
      <c r="E24" s="21"/>
      <c r="F24" s="21"/>
      <c r="G24" s="21"/>
      <c r="H24" s="23"/>
      <c r="I24" s="23"/>
      <c r="J24" s="21"/>
      <c r="K24" s="2"/>
      <c r="L24" s="2"/>
      <c r="M24" s="2"/>
      <c r="N24" s="2"/>
      <c r="O24" s="2"/>
      <c r="P24" s="2"/>
      <c r="Q24" s="19"/>
    </row>
    <row r="25" spans="1:17" x14ac:dyDescent="0.35">
      <c r="A25" s="24"/>
      <c r="B25" s="24"/>
      <c r="C25" s="26"/>
      <c r="D25" s="21"/>
      <c r="E25" s="21"/>
      <c r="F25" s="21"/>
      <c r="G25" s="21"/>
      <c r="H25" s="23"/>
      <c r="I25" s="23"/>
      <c r="J25" s="21"/>
      <c r="K25" s="2"/>
      <c r="L25" s="2"/>
      <c r="M25" s="2"/>
      <c r="N25" s="2"/>
      <c r="O25" s="2"/>
      <c r="P25" s="2"/>
      <c r="Q25" s="19"/>
    </row>
    <row r="26" spans="1:17" x14ac:dyDescent="0.35">
      <c r="A26" s="24"/>
      <c r="B26" s="24"/>
      <c r="C26" s="26"/>
      <c r="D26" s="21"/>
      <c r="E26" s="21"/>
      <c r="F26" s="21"/>
      <c r="G26" s="21"/>
      <c r="H26" s="23"/>
      <c r="I26" s="23"/>
      <c r="J26" s="21"/>
      <c r="K26" s="2"/>
      <c r="L26" s="2"/>
      <c r="M26" s="2"/>
      <c r="N26" s="2"/>
      <c r="O26" s="2"/>
      <c r="P26" s="2"/>
      <c r="Q26" s="19"/>
    </row>
    <row r="27" spans="1:17" x14ac:dyDescent="0.35">
      <c r="A27" s="24"/>
      <c r="B27" s="24"/>
      <c r="C27" s="26"/>
      <c r="D27" s="21"/>
      <c r="E27" s="21"/>
      <c r="F27" s="21"/>
      <c r="G27" s="21"/>
      <c r="H27" s="23"/>
      <c r="I27" s="23"/>
      <c r="J27" s="21"/>
      <c r="K27" s="2"/>
      <c r="L27" s="2"/>
      <c r="M27" s="2"/>
      <c r="N27" s="2"/>
      <c r="O27" s="2"/>
      <c r="P27" s="2"/>
      <c r="Q27" s="19"/>
    </row>
    <row r="28" spans="1:17" x14ac:dyDescent="0.35">
      <c r="A28" s="24"/>
      <c r="B28" s="24"/>
      <c r="C28" s="26"/>
      <c r="D28" s="21"/>
      <c r="E28" s="21"/>
      <c r="F28" s="21"/>
      <c r="G28" s="21"/>
      <c r="H28" s="23"/>
      <c r="I28" s="23"/>
      <c r="J28" s="21"/>
      <c r="K28" s="2"/>
      <c r="L28" s="2"/>
      <c r="M28" s="2"/>
      <c r="N28" s="2"/>
      <c r="O28" s="2"/>
      <c r="P28" s="2"/>
      <c r="Q28" s="19"/>
    </row>
    <row r="29" spans="1:17" x14ac:dyDescent="0.35">
      <c r="A29" s="24"/>
      <c r="B29" s="24"/>
      <c r="C29" s="26"/>
      <c r="D29" s="21"/>
      <c r="E29" s="21"/>
      <c r="F29" s="21"/>
      <c r="G29" s="21"/>
      <c r="H29" s="23"/>
      <c r="I29" s="23"/>
      <c r="J29" s="21"/>
      <c r="K29" s="2"/>
      <c r="L29" s="2"/>
      <c r="M29" s="2"/>
      <c r="N29" s="2"/>
      <c r="O29" s="2"/>
      <c r="P29" s="2"/>
      <c r="Q29" s="19"/>
    </row>
    <row r="30" spans="1:17" x14ac:dyDescent="0.35">
      <c r="A30" s="24"/>
      <c r="B30" s="24"/>
      <c r="C30" s="26"/>
      <c r="D30" s="21"/>
      <c r="E30" s="21"/>
      <c r="F30" s="21"/>
      <c r="G30" s="21"/>
      <c r="H30" s="23"/>
      <c r="I30" s="23"/>
      <c r="J30" s="21"/>
      <c r="K30" s="2"/>
      <c r="L30" s="2"/>
      <c r="M30" s="2"/>
      <c r="N30" s="2"/>
      <c r="O30" s="2"/>
      <c r="P30" s="2"/>
      <c r="Q30" s="19"/>
    </row>
    <row r="31" spans="1:17" x14ac:dyDescent="0.35">
      <c r="A31" s="24"/>
      <c r="B31" s="24"/>
      <c r="C31" s="26"/>
      <c r="D31" s="21"/>
      <c r="E31" s="21"/>
      <c r="F31" s="21"/>
      <c r="G31" s="21"/>
      <c r="H31" s="23"/>
      <c r="I31" s="23"/>
      <c r="J31" s="21"/>
      <c r="K31" s="2"/>
      <c r="L31" s="2"/>
      <c r="M31" s="2"/>
      <c r="N31" s="2"/>
      <c r="O31" s="2"/>
      <c r="P31" s="2"/>
      <c r="Q31" s="19"/>
    </row>
    <row r="32" spans="1:17" x14ac:dyDescent="0.35">
      <c r="A32" s="24"/>
      <c r="B32" s="24"/>
      <c r="C32" s="26"/>
      <c r="D32" s="21"/>
      <c r="E32" s="21"/>
      <c r="F32" s="21"/>
      <c r="G32" s="21"/>
      <c r="H32" s="23"/>
      <c r="I32" s="23"/>
      <c r="J32" s="21"/>
      <c r="K32" s="2"/>
      <c r="L32" s="2"/>
      <c r="M32" s="2"/>
      <c r="N32" s="2"/>
      <c r="O32" s="2"/>
      <c r="P32" s="2"/>
      <c r="Q32" s="19"/>
    </row>
    <row r="33" spans="1:17" x14ac:dyDescent="0.35">
      <c r="A33" s="24"/>
      <c r="B33" s="24"/>
      <c r="C33" s="26"/>
      <c r="D33" s="21"/>
      <c r="E33" s="21"/>
      <c r="F33" s="21"/>
      <c r="G33" s="21"/>
      <c r="H33" s="23"/>
      <c r="I33" s="23"/>
      <c r="J33" s="21"/>
      <c r="K33" s="2"/>
      <c r="L33" s="2"/>
      <c r="M33" s="2"/>
      <c r="N33" s="2"/>
      <c r="O33" s="2"/>
      <c r="P33" s="2"/>
      <c r="Q33" s="19"/>
    </row>
    <row r="34" spans="1:17" x14ac:dyDescent="0.35">
      <c r="A34" s="24"/>
      <c r="B34" s="24"/>
      <c r="C34" s="26"/>
      <c r="D34" s="21"/>
      <c r="E34" s="21"/>
      <c r="F34" s="21"/>
      <c r="G34" s="21"/>
      <c r="H34" s="23"/>
      <c r="I34" s="23"/>
      <c r="J34" s="21"/>
      <c r="K34" s="2"/>
      <c r="L34" s="2"/>
      <c r="M34" s="2"/>
      <c r="N34" s="2"/>
      <c r="O34" s="2"/>
      <c r="P34" s="2"/>
      <c r="Q34" s="19"/>
    </row>
    <row r="35" spans="1:17" x14ac:dyDescent="0.35">
      <c r="A35" s="24"/>
      <c r="B35" s="24"/>
      <c r="C35" s="26"/>
      <c r="D35" s="21"/>
      <c r="E35" s="21"/>
      <c r="F35" s="21"/>
      <c r="G35" s="21"/>
      <c r="H35" s="23"/>
      <c r="I35" s="23"/>
      <c r="J35" s="21"/>
      <c r="K35" s="2"/>
      <c r="L35" s="2"/>
      <c r="M35" s="2"/>
      <c r="N35" s="2"/>
      <c r="O35" s="2"/>
      <c r="P35" s="2"/>
      <c r="Q35" s="19"/>
    </row>
    <row r="36" spans="1:17" x14ac:dyDescent="0.35">
      <c r="A36" s="24"/>
      <c r="B36" s="24"/>
      <c r="C36" s="26"/>
      <c r="D36" s="21"/>
      <c r="E36" s="21"/>
      <c r="F36" s="21"/>
      <c r="G36" s="21"/>
      <c r="H36" s="23"/>
      <c r="I36" s="23"/>
      <c r="J36" s="21"/>
      <c r="K36" s="2"/>
      <c r="L36" s="2"/>
      <c r="M36" s="2"/>
      <c r="N36" s="2"/>
      <c r="O36" s="2"/>
      <c r="P36" s="2"/>
      <c r="Q36" s="19"/>
    </row>
    <row r="37" spans="1:17" x14ac:dyDescent="0.35">
      <c r="A37" s="24"/>
      <c r="B37" s="24"/>
      <c r="C37" s="26"/>
      <c r="D37" s="21"/>
      <c r="E37" s="21"/>
      <c r="F37" s="21"/>
      <c r="G37" s="21"/>
      <c r="H37" s="23"/>
      <c r="I37" s="23"/>
      <c r="J37" s="21"/>
      <c r="K37" s="2"/>
      <c r="L37" s="2"/>
      <c r="M37" s="2"/>
      <c r="N37" s="2"/>
      <c r="O37" s="2"/>
      <c r="P37" s="2"/>
      <c r="Q37" s="19"/>
    </row>
    <row r="38" spans="1:17" x14ac:dyDescent="0.35">
      <c r="A38" s="24"/>
      <c r="B38" s="24"/>
      <c r="C38" s="26"/>
      <c r="D38" s="21"/>
      <c r="E38" s="21"/>
      <c r="F38" s="21"/>
      <c r="G38" s="21"/>
      <c r="H38" s="23"/>
      <c r="I38" s="23"/>
      <c r="J38" s="21"/>
      <c r="K38" s="2"/>
      <c r="L38" s="2"/>
      <c r="M38" s="2"/>
      <c r="N38" s="2"/>
      <c r="O38" s="2"/>
      <c r="P38" s="2"/>
      <c r="Q38" s="19"/>
    </row>
    <row r="39" spans="1:17" x14ac:dyDescent="0.35">
      <c r="A39" s="24"/>
      <c r="B39" s="24"/>
      <c r="C39" s="26"/>
      <c r="D39" s="21"/>
      <c r="E39" s="21"/>
      <c r="F39" s="21"/>
      <c r="G39" s="21"/>
      <c r="H39" s="23"/>
      <c r="I39" s="23"/>
      <c r="J39" s="21"/>
      <c r="K39" s="2"/>
      <c r="L39" s="2"/>
      <c r="M39" s="2"/>
      <c r="N39" s="2"/>
      <c r="O39" s="2"/>
      <c r="P39" s="2"/>
      <c r="Q39" s="19"/>
    </row>
    <row r="40" spans="1:17" x14ac:dyDescent="0.35">
      <c r="A40" s="24"/>
      <c r="B40" s="24"/>
      <c r="C40" s="26"/>
      <c r="D40" s="21"/>
      <c r="E40" s="21"/>
      <c r="F40" s="21"/>
      <c r="G40" s="21"/>
      <c r="H40" s="23"/>
      <c r="I40" s="23"/>
      <c r="J40" s="21"/>
      <c r="K40" s="2"/>
      <c r="L40" s="2"/>
      <c r="M40" s="2"/>
      <c r="N40" s="2"/>
      <c r="O40" s="2"/>
      <c r="P40" s="2"/>
      <c r="Q40" s="19"/>
    </row>
    <row r="41" spans="1:17" x14ac:dyDescent="0.35">
      <c r="A41" s="24"/>
      <c r="B41" s="24"/>
      <c r="C41" s="26"/>
      <c r="D41" s="21"/>
      <c r="E41" s="21"/>
      <c r="F41" s="21"/>
      <c r="G41" s="21"/>
      <c r="H41" s="23"/>
      <c r="I41" s="23"/>
      <c r="J41" s="21"/>
      <c r="K41" s="2"/>
      <c r="L41" s="2"/>
      <c r="M41" s="2"/>
      <c r="N41" s="2"/>
      <c r="O41" s="2"/>
      <c r="P41" s="2"/>
      <c r="Q41" s="19"/>
    </row>
    <row r="42" spans="1:17" x14ac:dyDescent="0.35">
      <c r="A42" s="24"/>
      <c r="B42" s="24"/>
      <c r="C42" s="26"/>
      <c r="D42" s="21"/>
      <c r="E42" s="21"/>
      <c r="F42" s="21"/>
      <c r="G42" s="21"/>
      <c r="H42" s="23"/>
      <c r="I42" s="23"/>
      <c r="J42" s="21"/>
      <c r="K42" s="2"/>
      <c r="L42" s="2"/>
      <c r="M42" s="2"/>
      <c r="N42" s="2"/>
      <c r="O42" s="2"/>
      <c r="P42" s="2"/>
      <c r="Q42" s="19"/>
    </row>
    <row r="43" spans="1:17" x14ac:dyDescent="0.35">
      <c r="A43" s="24"/>
      <c r="B43" s="24"/>
      <c r="C43" s="26"/>
      <c r="D43" s="21"/>
      <c r="E43" s="21"/>
      <c r="F43" s="21"/>
      <c r="G43" s="21"/>
      <c r="H43" s="23"/>
      <c r="I43" s="23"/>
      <c r="J43" s="21"/>
      <c r="K43" s="2"/>
      <c r="L43" s="2"/>
      <c r="M43" s="2"/>
      <c r="N43" s="2"/>
      <c r="O43" s="2"/>
      <c r="P43" s="2"/>
      <c r="Q43" s="19"/>
    </row>
    <row r="44" spans="1:17" x14ac:dyDescent="0.35">
      <c r="A44" s="24"/>
      <c r="B44" s="24"/>
      <c r="C44" s="26"/>
      <c r="D44" s="21"/>
      <c r="E44" s="21"/>
      <c r="F44" s="21"/>
      <c r="G44" s="21"/>
      <c r="H44" s="23"/>
      <c r="I44" s="23"/>
      <c r="J44" s="21"/>
      <c r="K44" s="2"/>
      <c r="L44" s="2"/>
      <c r="M44" s="2"/>
      <c r="N44" s="2"/>
      <c r="O44" s="2"/>
      <c r="P44" s="2"/>
      <c r="Q44" s="19"/>
    </row>
    <row r="45" spans="1:17" x14ac:dyDescent="0.35">
      <c r="A45" s="24"/>
      <c r="B45" s="24"/>
      <c r="C45" s="26"/>
      <c r="D45" s="21"/>
      <c r="E45" s="21"/>
      <c r="F45" s="21"/>
      <c r="G45" s="21"/>
      <c r="H45" s="23"/>
      <c r="I45" s="23"/>
      <c r="J45" s="21"/>
      <c r="K45" s="2"/>
      <c r="L45" s="2"/>
      <c r="M45" s="2"/>
      <c r="N45" s="2"/>
      <c r="O45" s="2"/>
      <c r="P45" s="2"/>
      <c r="Q45" s="19"/>
    </row>
    <row r="46" spans="1:17" x14ac:dyDescent="0.35">
      <c r="A46" s="24"/>
      <c r="B46" s="24"/>
      <c r="C46" s="26"/>
      <c r="D46" s="21"/>
      <c r="E46" s="21"/>
      <c r="F46" s="21"/>
      <c r="G46" s="21"/>
      <c r="H46" s="23"/>
      <c r="I46" s="23"/>
      <c r="J46" s="21"/>
      <c r="K46" s="2"/>
      <c r="L46" s="2"/>
      <c r="M46" s="2"/>
      <c r="N46" s="2"/>
      <c r="O46" s="2"/>
      <c r="P46" s="2"/>
      <c r="Q46" s="19"/>
    </row>
    <row r="47" spans="1:17" x14ac:dyDescent="0.35">
      <c r="A47" s="24"/>
      <c r="B47" s="24"/>
      <c r="C47" s="26"/>
      <c r="D47" s="21"/>
      <c r="E47" s="21"/>
      <c r="F47" s="21"/>
      <c r="G47" s="21"/>
      <c r="H47" s="23"/>
      <c r="I47" s="23"/>
      <c r="J47" s="21"/>
      <c r="K47" s="2"/>
      <c r="L47" s="2"/>
      <c r="M47" s="2"/>
      <c r="N47" s="2"/>
      <c r="O47" s="2"/>
      <c r="P47" s="2"/>
      <c r="Q47" s="19"/>
    </row>
    <row r="48" spans="1:17" x14ac:dyDescent="0.35">
      <c r="A48" s="24"/>
      <c r="B48" s="24"/>
      <c r="C48" s="26"/>
      <c r="D48" s="21"/>
      <c r="E48" s="21"/>
      <c r="F48" s="21"/>
      <c r="G48" s="21"/>
      <c r="H48" s="23"/>
      <c r="I48" s="23"/>
      <c r="J48" s="21"/>
      <c r="K48" s="2"/>
      <c r="L48" s="2"/>
      <c r="M48" s="2"/>
      <c r="N48" s="2"/>
      <c r="O48" s="2"/>
      <c r="P48" s="2"/>
      <c r="Q48" s="19"/>
    </row>
    <row r="49" spans="1:17" x14ac:dyDescent="0.35">
      <c r="A49" s="24"/>
      <c r="B49" s="24"/>
      <c r="C49" s="26"/>
      <c r="D49" s="21"/>
      <c r="E49" s="21"/>
      <c r="F49" s="21"/>
      <c r="G49" s="21"/>
      <c r="H49" s="23"/>
      <c r="I49" s="23"/>
      <c r="J49" s="21"/>
      <c r="K49" s="2"/>
      <c r="L49" s="2"/>
      <c r="M49" s="2"/>
      <c r="N49" s="2"/>
      <c r="O49" s="2"/>
      <c r="P49" s="2"/>
      <c r="Q49" s="19"/>
    </row>
    <row r="50" spans="1:17" x14ac:dyDescent="0.35">
      <c r="A50" s="24"/>
      <c r="B50" s="24"/>
      <c r="C50" s="26"/>
      <c r="D50" s="21"/>
      <c r="E50" s="21"/>
      <c r="F50" s="21"/>
      <c r="G50" s="21"/>
      <c r="H50" s="23"/>
      <c r="I50" s="23"/>
      <c r="J50" s="21"/>
      <c r="K50" s="2"/>
      <c r="L50" s="2"/>
      <c r="M50" s="2"/>
      <c r="N50" s="2"/>
      <c r="O50" s="2"/>
      <c r="P50" s="2"/>
      <c r="Q50" s="19"/>
    </row>
    <row r="51" spans="1:17" x14ac:dyDescent="0.35">
      <c r="A51" s="24"/>
      <c r="B51" s="24"/>
      <c r="C51" s="26"/>
      <c r="D51" s="21"/>
      <c r="E51" s="21"/>
      <c r="F51" s="21"/>
      <c r="G51" s="21"/>
      <c r="H51" s="23"/>
      <c r="I51" s="23"/>
      <c r="J51" s="21"/>
      <c r="K51" s="2"/>
      <c r="L51" s="2"/>
      <c r="M51" s="2"/>
      <c r="N51" s="2"/>
      <c r="O51" s="2"/>
      <c r="P51" s="2"/>
      <c r="Q51" s="19"/>
    </row>
    <row r="52" spans="1:17" x14ac:dyDescent="0.35">
      <c r="A52" s="24"/>
      <c r="B52" s="24"/>
      <c r="C52" s="26"/>
      <c r="D52" s="21"/>
      <c r="E52" s="21"/>
      <c r="F52" s="21"/>
      <c r="G52" s="21"/>
      <c r="H52" s="23"/>
      <c r="I52" s="23"/>
      <c r="J52" s="21"/>
      <c r="K52" s="2"/>
      <c r="L52" s="2"/>
      <c r="M52" s="2"/>
      <c r="N52" s="2"/>
      <c r="O52" s="2"/>
      <c r="P52" s="2"/>
      <c r="Q52" s="19"/>
    </row>
    <row r="53" spans="1:17" x14ac:dyDescent="0.35">
      <c r="A53" s="24"/>
      <c r="B53" s="24"/>
      <c r="C53" s="26"/>
      <c r="D53" s="21"/>
      <c r="E53" s="21"/>
      <c r="F53" s="21"/>
      <c r="G53" s="21"/>
      <c r="H53" s="23"/>
      <c r="I53" s="23"/>
      <c r="J53" s="21"/>
      <c r="K53" s="2"/>
      <c r="L53" s="2"/>
      <c r="M53" s="2"/>
      <c r="N53" s="2"/>
      <c r="O53" s="2"/>
      <c r="P53" s="2"/>
      <c r="Q53" s="19"/>
    </row>
    <row r="54" spans="1:17" x14ac:dyDescent="0.35">
      <c r="A54" s="24"/>
      <c r="B54" s="24"/>
      <c r="C54" s="26"/>
      <c r="D54" s="21"/>
      <c r="E54" s="21"/>
      <c r="F54" s="21"/>
      <c r="G54" s="21"/>
      <c r="H54" s="23"/>
      <c r="I54" s="23"/>
      <c r="J54" s="21"/>
      <c r="K54" s="2"/>
      <c r="L54" s="2"/>
      <c r="M54" s="2"/>
      <c r="N54" s="2"/>
      <c r="O54" s="2"/>
      <c r="P54" s="2"/>
      <c r="Q54" s="19"/>
    </row>
    <row r="55" spans="1:17" x14ac:dyDescent="0.35">
      <c r="A55" s="24"/>
      <c r="B55" s="24"/>
      <c r="C55" s="26"/>
      <c r="D55" s="21"/>
      <c r="E55" s="21"/>
      <c r="F55" s="21"/>
      <c r="G55" s="21"/>
      <c r="H55" s="23"/>
      <c r="I55" s="23"/>
      <c r="J55" s="21"/>
      <c r="K55" s="2"/>
      <c r="L55" s="2"/>
      <c r="M55" s="2"/>
      <c r="N55" s="2"/>
      <c r="O55" s="2"/>
      <c r="P55" s="2"/>
      <c r="Q55" s="19"/>
    </row>
    <row r="56" spans="1:17" x14ac:dyDescent="0.35">
      <c r="A56" s="24"/>
      <c r="B56" s="24"/>
      <c r="C56" s="26"/>
      <c r="D56" s="21"/>
      <c r="E56" s="21"/>
      <c r="F56" s="21"/>
      <c r="G56" s="21"/>
      <c r="H56" s="23"/>
      <c r="I56" s="23"/>
      <c r="J56" s="21"/>
      <c r="K56" s="2"/>
      <c r="L56" s="2"/>
      <c r="M56" s="2"/>
      <c r="N56" s="2"/>
      <c r="O56" s="2"/>
      <c r="P56" s="2"/>
      <c r="Q56" s="19"/>
    </row>
    <row r="57" spans="1:17" x14ac:dyDescent="0.35">
      <c r="A57" s="24"/>
      <c r="B57" s="24"/>
      <c r="C57" s="26"/>
      <c r="D57" s="21"/>
      <c r="E57" s="21"/>
      <c r="F57" s="21"/>
      <c r="G57" s="21"/>
      <c r="H57" s="23"/>
      <c r="I57" s="23"/>
      <c r="J57" s="21"/>
      <c r="K57" s="2"/>
      <c r="L57" s="2"/>
      <c r="M57" s="2"/>
      <c r="N57" s="2"/>
      <c r="O57" s="2"/>
      <c r="P57" s="2"/>
      <c r="Q57" s="1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EFE0-149A-4344-9E5B-4201BAEE3FAB}">
  <sheetPr codeName="Sheet6"/>
  <dimension ref="A1:F1"/>
  <sheetViews>
    <sheetView workbookViewId="0">
      <selection activeCell="A2" sqref="A2"/>
    </sheetView>
  </sheetViews>
  <sheetFormatPr defaultRowHeight="14.5" x14ac:dyDescent="0.35"/>
  <cols>
    <col min="1" max="4" width="8.7265625" style="18"/>
  </cols>
  <sheetData>
    <row r="1" spans="1:6" x14ac:dyDescent="0.35">
      <c r="A1" s="18" t="s">
        <v>27</v>
      </c>
      <c r="B1" s="18" t="s">
        <v>336</v>
      </c>
      <c r="C1" s="18" t="s">
        <v>337</v>
      </c>
      <c r="D1" s="18" t="s">
        <v>338</v>
      </c>
      <c r="E1" t="s">
        <v>283</v>
      </c>
      <c r="F1" t="s">
        <v>339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2914-0693-4687-919A-7B320928C319}">
  <sheetPr codeName="Sheet7">
    <tabColor rgb="FF92D050"/>
  </sheetPr>
  <dimension ref="A1:L16"/>
  <sheetViews>
    <sheetView workbookViewId="0">
      <selection activeCell="A9" sqref="A9"/>
    </sheetView>
  </sheetViews>
  <sheetFormatPr defaultRowHeight="14.5" x14ac:dyDescent="0.35"/>
  <cols>
    <col min="1" max="1" width="18.90625" customWidth="1"/>
  </cols>
  <sheetData>
    <row r="1" spans="1:12" x14ac:dyDescent="0.35">
      <c r="A1" s="1" t="s">
        <v>66</v>
      </c>
    </row>
    <row r="2" spans="1:12" x14ac:dyDescent="0.35">
      <c r="A2" t="s">
        <v>67</v>
      </c>
      <c r="B2" t="s">
        <v>68</v>
      </c>
      <c r="C2" t="s">
        <v>26</v>
      </c>
    </row>
    <row r="3" spans="1:12" x14ac:dyDescent="0.35">
      <c r="A3" t="s">
        <v>50</v>
      </c>
      <c r="B3" t="s">
        <v>35</v>
      </c>
      <c r="C3" t="s">
        <v>36</v>
      </c>
    </row>
    <row r="4" spans="1:12" x14ac:dyDescent="0.35">
      <c r="A4" t="s">
        <v>37</v>
      </c>
      <c r="B4" t="s">
        <v>73</v>
      </c>
      <c r="C4" t="s">
        <v>81</v>
      </c>
      <c r="D4" t="s">
        <v>74</v>
      </c>
      <c r="E4" t="s">
        <v>82</v>
      </c>
      <c r="F4" t="s">
        <v>75</v>
      </c>
      <c r="G4" t="s">
        <v>76</v>
      </c>
      <c r="H4" t="s">
        <v>77</v>
      </c>
      <c r="I4" t="s">
        <v>78</v>
      </c>
      <c r="J4" t="s">
        <v>79</v>
      </c>
      <c r="K4" t="s">
        <v>80</v>
      </c>
      <c r="L4" t="s">
        <v>83</v>
      </c>
    </row>
    <row r="5" spans="1:12" x14ac:dyDescent="0.35">
      <c r="A5" t="s">
        <v>64</v>
      </c>
      <c r="B5" t="s">
        <v>69</v>
      </c>
      <c r="C5" t="s">
        <v>70</v>
      </c>
      <c r="D5" t="s">
        <v>71</v>
      </c>
      <c r="E5" t="s">
        <v>72</v>
      </c>
    </row>
    <row r="7" spans="1:12" x14ac:dyDescent="0.35">
      <c r="A7" s="1" t="s">
        <v>0</v>
      </c>
    </row>
    <row r="8" spans="1:12" x14ac:dyDescent="0.35">
      <c r="A8" t="s">
        <v>23</v>
      </c>
      <c r="B8" t="s">
        <v>103</v>
      </c>
      <c r="C8" t="s">
        <v>104</v>
      </c>
      <c r="D8" t="s">
        <v>105</v>
      </c>
      <c r="E8" t="s">
        <v>106</v>
      </c>
      <c r="F8" t="s">
        <v>107</v>
      </c>
      <c r="G8" t="s">
        <v>0</v>
      </c>
    </row>
    <row r="9" spans="1:12" x14ac:dyDescent="0.35">
      <c r="A9" t="s">
        <v>381</v>
      </c>
      <c r="B9" t="s">
        <v>176</v>
      </c>
      <c r="C9" t="s">
        <v>199</v>
      </c>
    </row>
    <row r="10" spans="1:12" x14ac:dyDescent="0.35">
      <c r="A10" t="s">
        <v>27</v>
      </c>
      <c r="B10" t="s">
        <v>200</v>
      </c>
      <c r="C10" t="s">
        <v>201</v>
      </c>
      <c r="D10" t="s">
        <v>202</v>
      </c>
      <c r="E10" t="s">
        <v>203</v>
      </c>
      <c r="F10" t="s">
        <v>204</v>
      </c>
      <c r="G10" t="s">
        <v>205</v>
      </c>
      <c r="H10" t="s">
        <v>206</v>
      </c>
      <c r="I10" t="s">
        <v>207</v>
      </c>
      <c r="J10" t="s">
        <v>208</v>
      </c>
      <c r="K10" t="s">
        <v>209</v>
      </c>
    </row>
    <row r="11" spans="1:12" x14ac:dyDescent="0.35">
      <c r="A11" t="s">
        <v>18</v>
      </c>
      <c r="B11" t="s">
        <v>210</v>
      </c>
      <c r="C11" t="s">
        <v>211</v>
      </c>
    </row>
    <row r="12" spans="1:12" x14ac:dyDescent="0.35">
      <c r="A12" t="s">
        <v>24</v>
      </c>
      <c r="B12" t="s">
        <v>212</v>
      </c>
      <c r="C12" t="s">
        <v>213</v>
      </c>
      <c r="D12" t="s">
        <v>214</v>
      </c>
    </row>
    <row r="13" spans="1:12" x14ac:dyDescent="0.35">
      <c r="A13" t="s">
        <v>25</v>
      </c>
      <c r="B13" t="s">
        <v>108</v>
      </c>
      <c r="C13" t="s">
        <v>109</v>
      </c>
      <c r="D13" t="s">
        <v>110</v>
      </c>
    </row>
    <row r="15" spans="1:12" x14ac:dyDescent="0.35">
      <c r="A15" s="1" t="s">
        <v>45</v>
      </c>
    </row>
    <row r="16" spans="1:12" x14ac:dyDescent="0.35">
      <c r="A16" t="s">
        <v>23</v>
      </c>
      <c r="B16" t="s">
        <v>103</v>
      </c>
      <c r="C16" t="s">
        <v>104</v>
      </c>
      <c r="D16" t="s">
        <v>105</v>
      </c>
      <c r="E16" t="s">
        <v>106</v>
      </c>
      <c r="F16" t="s">
        <v>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9043-278E-43E8-9585-6AFCCB8FBAA5}">
  <sheetPr codeName="Sheet8">
    <tabColor rgb="FF92D050"/>
  </sheetPr>
  <dimension ref="A1:AP11"/>
  <sheetViews>
    <sheetView workbookViewId="0">
      <selection activeCell="P18" sqref="P18"/>
    </sheetView>
  </sheetViews>
  <sheetFormatPr defaultRowHeight="14.5" x14ac:dyDescent="0.35"/>
  <cols>
    <col min="1" max="1" width="7.81640625" customWidth="1"/>
    <col min="2" max="2" width="6.90625" bestFit="1" customWidth="1"/>
    <col min="3" max="3" width="4" bestFit="1" customWidth="1"/>
    <col min="4" max="4" width="9.7265625" bestFit="1" customWidth="1"/>
    <col min="5" max="5" width="9.6328125" bestFit="1" customWidth="1"/>
    <col min="6" max="6" width="9.90625" bestFit="1" customWidth="1"/>
    <col min="7" max="7" width="9.81640625" bestFit="1" customWidth="1"/>
    <col min="8" max="8" width="14.6328125" bestFit="1" customWidth="1"/>
    <col min="9" max="9" width="8.1796875" bestFit="1" customWidth="1"/>
    <col min="10" max="10" width="9.6328125" bestFit="1" customWidth="1"/>
    <col min="11" max="11" width="8.26953125" bestFit="1" customWidth="1"/>
    <col min="12" max="12" width="8.6328125" bestFit="1" customWidth="1"/>
    <col min="13" max="13" width="8.36328125" bestFit="1" customWidth="1"/>
    <col min="14" max="15" width="8" bestFit="1" customWidth="1"/>
    <col min="16" max="16" width="9.81640625" bestFit="1" customWidth="1"/>
    <col min="17" max="17" width="10.1796875" bestFit="1" customWidth="1"/>
    <col min="18" max="18" width="5.6328125" bestFit="1" customWidth="1"/>
    <col min="19" max="19" width="9.08984375" bestFit="1" customWidth="1"/>
    <col min="20" max="20" width="9.453125" bestFit="1" customWidth="1"/>
    <col min="21" max="21" width="7.36328125" bestFit="1" customWidth="1"/>
    <col min="22" max="22" width="5.54296875" bestFit="1" customWidth="1"/>
    <col min="23" max="23" width="6.90625" bestFit="1" customWidth="1"/>
    <col min="24" max="24" width="5.36328125" bestFit="1" customWidth="1"/>
    <col min="25" max="25" width="6.6328125" bestFit="1" customWidth="1"/>
    <col min="26" max="26" width="9.453125" bestFit="1" customWidth="1"/>
    <col min="27" max="27" width="9.7265625" bestFit="1" customWidth="1"/>
    <col min="28" max="28" width="6" bestFit="1" customWidth="1"/>
    <col min="29" max="29" width="5.26953125" bestFit="1" customWidth="1"/>
    <col min="30" max="30" width="9" bestFit="1" customWidth="1"/>
    <col min="31" max="31" width="9.453125" bestFit="1" customWidth="1"/>
    <col min="32" max="32" width="15.6328125" bestFit="1" customWidth="1"/>
    <col min="33" max="33" width="7.453125" bestFit="1" customWidth="1"/>
    <col min="34" max="34" width="6.6328125" bestFit="1" customWidth="1"/>
    <col min="35" max="35" width="11.6328125" bestFit="1" customWidth="1"/>
    <col min="36" max="36" width="4.08984375" bestFit="1" customWidth="1"/>
    <col min="37" max="37" width="8.453125" bestFit="1" customWidth="1"/>
    <col min="38" max="38" width="7.81640625" bestFit="1" customWidth="1"/>
    <col min="39" max="39" width="10.08984375" bestFit="1" customWidth="1"/>
    <col min="40" max="40" width="9.453125" bestFit="1" customWidth="1"/>
    <col min="41" max="41" width="9.26953125" bestFit="1" customWidth="1"/>
    <col min="42" max="42" width="9.7265625" bestFit="1" customWidth="1"/>
  </cols>
  <sheetData>
    <row r="1" spans="1:42" x14ac:dyDescent="0.35">
      <c r="A1" t="s">
        <v>111</v>
      </c>
      <c r="B1" t="s">
        <v>112</v>
      </c>
      <c r="C1" t="s">
        <v>113</v>
      </c>
      <c r="D1" t="s">
        <v>114</v>
      </c>
      <c r="E1" t="s">
        <v>115</v>
      </c>
      <c r="F1" t="s">
        <v>116</v>
      </c>
      <c r="G1" t="s">
        <v>117</v>
      </c>
      <c r="H1" t="s">
        <v>118</v>
      </c>
      <c r="I1" t="s">
        <v>119</v>
      </c>
      <c r="J1" t="s">
        <v>31</v>
      </c>
      <c r="K1" t="s">
        <v>120</v>
      </c>
      <c r="L1" t="s">
        <v>121</v>
      </c>
      <c r="M1" t="s">
        <v>122</v>
      </c>
      <c r="N1" t="s">
        <v>123</v>
      </c>
      <c r="O1" t="s">
        <v>124</v>
      </c>
      <c r="P1" t="s">
        <v>125</v>
      </c>
      <c r="Q1" t="s">
        <v>126</v>
      </c>
      <c r="R1" t="s">
        <v>22</v>
      </c>
      <c r="S1" t="s">
        <v>127</v>
      </c>
      <c r="T1" t="s">
        <v>128</v>
      </c>
      <c r="U1" t="s">
        <v>14</v>
      </c>
      <c r="V1" t="s">
        <v>129</v>
      </c>
      <c r="W1" t="s">
        <v>130</v>
      </c>
      <c r="X1" t="s">
        <v>131</v>
      </c>
      <c r="Y1" t="s">
        <v>132</v>
      </c>
      <c r="Z1" t="s">
        <v>133</v>
      </c>
      <c r="AA1" t="s">
        <v>134</v>
      </c>
      <c r="AB1" t="s">
        <v>135</v>
      </c>
      <c r="AC1" t="s">
        <v>136</v>
      </c>
      <c r="AD1" t="s">
        <v>137</v>
      </c>
      <c r="AE1" t="s">
        <v>138</v>
      </c>
      <c r="AF1" t="s">
        <v>139</v>
      </c>
      <c r="AG1" t="s">
        <v>140</v>
      </c>
      <c r="AH1" t="s">
        <v>141</v>
      </c>
      <c r="AI1" t="s">
        <v>142</v>
      </c>
      <c r="AJ1" t="s">
        <v>143</v>
      </c>
      <c r="AK1" t="s">
        <v>144</v>
      </c>
      <c r="AL1" t="s">
        <v>145</v>
      </c>
      <c r="AM1" t="s">
        <v>146</v>
      </c>
      <c r="AN1" t="s">
        <v>147</v>
      </c>
      <c r="AO1" t="s">
        <v>148</v>
      </c>
      <c r="AP1" t="s">
        <v>149</v>
      </c>
    </row>
    <row r="2" spans="1:42" x14ac:dyDescent="0.35">
      <c r="A2" t="s">
        <v>150</v>
      </c>
      <c r="B2" t="s">
        <v>151</v>
      </c>
      <c r="C2">
        <v>25</v>
      </c>
      <c r="D2" s="12">
        <v>45331</v>
      </c>
      <c r="E2" s="12">
        <v>45352</v>
      </c>
      <c r="F2" s="13">
        <v>0.41825231481481484</v>
      </c>
      <c r="G2" s="13">
        <v>0.64398148148148149</v>
      </c>
      <c r="J2" s="14">
        <v>58.599899999999998</v>
      </c>
      <c r="K2" s="14">
        <v>78.010000000000005</v>
      </c>
      <c r="L2" s="14">
        <v>485.25</v>
      </c>
      <c r="M2" s="15">
        <v>0.33119999999999999</v>
      </c>
      <c r="N2" s="14">
        <v>58.599899999999998</v>
      </c>
      <c r="O2" s="14">
        <v>78.010000000000005</v>
      </c>
      <c r="P2" s="14">
        <v>485.25</v>
      </c>
      <c r="T2" s="14">
        <v>0</v>
      </c>
      <c r="U2" t="s">
        <v>152</v>
      </c>
      <c r="V2" t="s">
        <v>153</v>
      </c>
      <c r="Y2" t="s">
        <v>154</v>
      </c>
      <c r="Z2" s="14">
        <v>1465</v>
      </c>
      <c r="AA2">
        <v>2</v>
      </c>
      <c r="AD2" t="s">
        <v>155</v>
      </c>
      <c r="AE2" s="12">
        <v>45352</v>
      </c>
      <c r="AF2" t="s">
        <v>156</v>
      </c>
      <c r="AH2" t="s">
        <v>157</v>
      </c>
      <c r="AI2" s="14">
        <v>19.41</v>
      </c>
      <c r="AJ2">
        <v>0</v>
      </c>
      <c r="AK2">
        <v>-58.247500000000002</v>
      </c>
      <c r="AL2">
        <v>603.75300000000004</v>
      </c>
      <c r="AO2">
        <v>674</v>
      </c>
      <c r="AP2">
        <v>46.01</v>
      </c>
    </row>
    <row r="3" spans="1:42" x14ac:dyDescent="0.35">
      <c r="A3" t="s">
        <v>158</v>
      </c>
      <c r="B3" t="s">
        <v>159</v>
      </c>
      <c r="C3">
        <v>12</v>
      </c>
      <c r="D3" s="12">
        <v>45331</v>
      </c>
      <c r="E3" s="12">
        <v>45356</v>
      </c>
      <c r="F3" s="13">
        <v>0.41672453703703705</v>
      </c>
      <c r="G3" s="13">
        <v>0.6542013888888889</v>
      </c>
      <c r="J3" s="14">
        <v>193.53</v>
      </c>
      <c r="K3" s="14">
        <v>180.28</v>
      </c>
      <c r="L3" s="14">
        <v>-159</v>
      </c>
      <c r="M3" s="15">
        <v>-6.8500000000000005E-2</v>
      </c>
      <c r="N3" s="14">
        <v>193.53</v>
      </c>
      <c r="O3" s="14">
        <v>180.28</v>
      </c>
      <c r="P3" s="14">
        <v>-159</v>
      </c>
      <c r="T3" s="14">
        <v>0</v>
      </c>
      <c r="U3" t="s">
        <v>152</v>
      </c>
      <c r="V3" t="s">
        <v>153</v>
      </c>
      <c r="Y3" t="s">
        <v>154</v>
      </c>
      <c r="Z3" s="14">
        <v>2322.36</v>
      </c>
      <c r="AA3">
        <v>2</v>
      </c>
      <c r="AD3" t="s">
        <v>160</v>
      </c>
      <c r="AE3" s="12">
        <v>45356</v>
      </c>
      <c r="AF3" t="s">
        <v>156</v>
      </c>
      <c r="AH3" t="s">
        <v>157</v>
      </c>
      <c r="AI3" s="14">
        <v>-13.25</v>
      </c>
      <c r="AJ3">
        <v>0</v>
      </c>
      <c r="AK3">
        <v>-159</v>
      </c>
      <c r="AL3">
        <v>144.84</v>
      </c>
      <c r="AO3">
        <v>144.84</v>
      </c>
      <c r="AP3">
        <v>6.24</v>
      </c>
    </row>
    <row r="4" spans="1:42" x14ac:dyDescent="0.35">
      <c r="A4" t="s">
        <v>161</v>
      </c>
      <c r="B4" t="s">
        <v>159</v>
      </c>
      <c r="C4">
        <v>9</v>
      </c>
      <c r="D4" s="12">
        <v>45383</v>
      </c>
      <c r="E4" s="12">
        <v>45383</v>
      </c>
      <c r="F4" s="13">
        <v>0.40452546296296299</v>
      </c>
      <c r="G4" s="13">
        <v>0.40452546296296299</v>
      </c>
      <c r="J4" s="14">
        <v>175.91</v>
      </c>
      <c r="N4" s="14">
        <v>175.91</v>
      </c>
      <c r="P4" s="14">
        <v>0</v>
      </c>
      <c r="T4" s="14">
        <v>0</v>
      </c>
      <c r="U4" t="s">
        <v>152</v>
      </c>
      <c r="V4" t="s">
        <v>153</v>
      </c>
      <c r="Y4" t="s">
        <v>154</v>
      </c>
      <c r="Z4" s="14">
        <v>1583.19</v>
      </c>
      <c r="AA4">
        <v>1</v>
      </c>
      <c r="AD4" t="s">
        <v>162</v>
      </c>
      <c r="AE4" s="12">
        <v>45383</v>
      </c>
      <c r="AF4" t="s">
        <v>163</v>
      </c>
      <c r="AG4">
        <v>9</v>
      </c>
      <c r="AH4" t="s">
        <v>157</v>
      </c>
      <c r="AJ4">
        <v>0</v>
      </c>
    </row>
    <row r="5" spans="1:42" x14ac:dyDescent="0.35">
      <c r="A5" t="s">
        <v>161</v>
      </c>
      <c r="B5" t="s">
        <v>164</v>
      </c>
      <c r="C5">
        <v>6</v>
      </c>
      <c r="D5" s="12">
        <v>45383</v>
      </c>
      <c r="E5" s="12">
        <v>45383</v>
      </c>
      <c r="F5" s="13">
        <v>0.41901620370370368</v>
      </c>
      <c r="G5" s="13">
        <v>0.41901620370370368</v>
      </c>
      <c r="J5" s="14">
        <v>170.19</v>
      </c>
      <c r="N5" s="14">
        <v>170.19</v>
      </c>
      <c r="P5" s="14">
        <v>0</v>
      </c>
      <c r="T5" s="14">
        <v>0</v>
      </c>
      <c r="U5" t="s">
        <v>152</v>
      </c>
      <c r="V5" t="s">
        <v>153</v>
      </c>
      <c r="Y5" t="s">
        <v>154</v>
      </c>
      <c r="Z5" s="14">
        <v>1021.14</v>
      </c>
      <c r="AA5">
        <v>1</v>
      </c>
      <c r="AD5" t="s">
        <v>162</v>
      </c>
      <c r="AE5" s="12">
        <v>45383</v>
      </c>
      <c r="AF5" t="s">
        <v>163</v>
      </c>
      <c r="AG5">
        <v>6</v>
      </c>
      <c r="AH5" t="s">
        <v>157</v>
      </c>
      <c r="AJ5">
        <v>0</v>
      </c>
    </row>
    <row r="6" spans="1:42" x14ac:dyDescent="0.35">
      <c r="A6" t="s">
        <v>161</v>
      </c>
      <c r="B6" t="s">
        <v>165</v>
      </c>
      <c r="C6">
        <v>75</v>
      </c>
      <c r="D6" s="12">
        <v>45391</v>
      </c>
      <c r="E6" s="12">
        <v>45391</v>
      </c>
      <c r="F6" s="13">
        <v>0.41508101851851853</v>
      </c>
      <c r="G6" s="13">
        <v>0.41530092592592593</v>
      </c>
      <c r="J6" s="14">
        <v>26.55</v>
      </c>
      <c r="N6" s="14">
        <v>26.54</v>
      </c>
      <c r="P6" s="14">
        <v>0</v>
      </c>
      <c r="T6" s="14">
        <v>0</v>
      </c>
      <c r="U6" t="s">
        <v>152</v>
      </c>
      <c r="V6" t="s">
        <v>153</v>
      </c>
      <c r="Y6" t="s">
        <v>154</v>
      </c>
      <c r="Z6" s="14">
        <v>1990.5</v>
      </c>
      <c r="AA6">
        <v>2</v>
      </c>
      <c r="AD6" t="s">
        <v>166</v>
      </c>
      <c r="AE6" s="12">
        <v>45391</v>
      </c>
      <c r="AF6" t="s">
        <v>156</v>
      </c>
      <c r="AG6">
        <v>75</v>
      </c>
      <c r="AH6" t="s">
        <v>157</v>
      </c>
      <c r="AJ6">
        <v>0</v>
      </c>
    </row>
    <row r="7" spans="1:42" x14ac:dyDescent="0.35">
      <c r="A7" t="s">
        <v>158</v>
      </c>
      <c r="B7" t="s">
        <v>167</v>
      </c>
      <c r="C7">
        <v>1</v>
      </c>
      <c r="D7" s="12">
        <v>45397</v>
      </c>
      <c r="E7" s="12">
        <v>45397</v>
      </c>
      <c r="F7" s="13">
        <v>0.40363425925925928</v>
      </c>
      <c r="G7" s="13">
        <v>0.40387731481481481</v>
      </c>
      <c r="J7" s="14">
        <v>7.8</v>
      </c>
      <c r="K7" s="14">
        <v>7.4</v>
      </c>
      <c r="L7" s="14">
        <v>-40</v>
      </c>
      <c r="M7" s="15">
        <v>-5.1299999999999998E-2</v>
      </c>
      <c r="N7" s="14">
        <v>7.8</v>
      </c>
      <c r="O7" s="14">
        <v>7.4</v>
      </c>
      <c r="P7" s="14">
        <v>-42.36</v>
      </c>
      <c r="Q7" s="14">
        <v>1.3</v>
      </c>
      <c r="S7" s="12">
        <v>45397</v>
      </c>
      <c r="T7" s="14">
        <v>5180</v>
      </c>
      <c r="U7" t="s">
        <v>168</v>
      </c>
      <c r="V7" t="s">
        <v>153</v>
      </c>
      <c r="Y7" t="s">
        <v>154</v>
      </c>
      <c r="Z7" s="14">
        <v>780</v>
      </c>
      <c r="AA7">
        <v>2</v>
      </c>
      <c r="AB7" s="14">
        <v>1.06</v>
      </c>
      <c r="AD7" t="s">
        <v>169</v>
      </c>
      <c r="AE7" s="12">
        <v>45397</v>
      </c>
      <c r="AF7" t="s">
        <v>170</v>
      </c>
      <c r="AH7" t="s">
        <v>157</v>
      </c>
      <c r="AI7" s="14">
        <v>-40</v>
      </c>
      <c r="AJ7">
        <v>0</v>
      </c>
      <c r="AK7">
        <v>-40</v>
      </c>
    </row>
    <row r="8" spans="1:42" x14ac:dyDescent="0.35">
      <c r="A8" t="s">
        <v>150</v>
      </c>
      <c r="B8" t="s">
        <v>167</v>
      </c>
      <c r="C8">
        <v>1</v>
      </c>
      <c r="D8" s="12">
        <v>45397</v>
      </c>
      <c r="E8" s="12">
        <v>45397</v>
      </c>
      <c r="F8" s="13">
        <v>0.41214120370370372</v>
      </c>
      <c r="G8" s="13">
        <v>0.41340277777777779</v>
      </c>
      <c r="H8" t="s">
        <v>177</v>
      </c>
      <c r="J8" s="14">
        <v>6.3</v>
      </c>
      <c r="K8" s="14">
        <v>6.6</v>
      </c>
      <c r="L8" s="14">
        <v>30</v>
      </c>
      <c r="M8" s="15">
        <v>4.7600000000000003E-2</v>
      </c>
      <c r="N8" s="14">
        <v>6.3</v>
      </c>
      <c r="O8" s="14">
        <v>6.6</v>
      </c>
      <c r="P8" s="14">
        <v>27.64</v>
      </c>
      <c r="Q8" s="14">
        <v>1.3</v>
      </c>
      <c r="S8" s="12">
        <v>45397</v>
      </c>
      <c r="T8" s="14">
        <v>5180</v>
      </c>
      <c r="U8" t="s">
        <v>168</v>
      </c>
      <c r="V8" t="s">
        <v>153</v>
      </c>
      <c r="Y8" t="s">
        <v>154</v>
      </c>
      <c r="Z8" s="14">
        <v>630</v>
      </c>
      <c r="AA8">
        <v>2</v>
      </c>
      <c r="AB8" s="14">
        <v>1.06</v>
      </c>
      <c r="AD8" t="s">
        <v>172</v>
      </c>
      <c r="AE8" s="12">
        <v>45397</v>
      </c>
      <c r="AF8" t="s">
        <v>170</v>
      </c>
      <c r="AH8" t="s">
        <v>157</v>
      </c>
      <c r="AI8" s="14">
        <v>30</v>
      </c>
      <c r="AJ8">
        <v>0</v>
      </c>
      <c r="AK8">
        <v>20</v>
      </c>
      <c r="AL8">
        <v>30</v>
      </c>
    </row>
    <row r="9" spans="1:42" x14ac:dyDescent="0.35">
      <c r="A9" t="s">
        <v>150</v>
      </c>
      <c r="B9" t="s">
        <v>167</v>
      </c>
      <c r="C9">
        <v>1</v>
      </c>
      <c r="D9" s="12">
        <v>45401</v>
      </c>
      <c r="E9" s="12">
        <v>45401</v>
      </c>
      <c r="F9" s="13">
        <v>0.47843750000000002</v>
      </c>
      <c r="G9" s="13">
        <v>0.48166666666666669</v>
      </c>
      <c r="H9" t="s">
        <v>171</v>
      </c>
      <c r="I9" t="s">
        <v>173</v>
      </c>
      <c r="J9" s="14">
        <v>5.8</v>
      </c>
      <c r="K9" s="14">
        <v>6</v>
      </c>
      <c r="L9" s="14">
        <v>20</v>
      </c>
      <c r="M9" s="15">
        <v>3.4500000000000003E-2</v>
      </c>
      <c r="N9" s="14">
        <v>5.8</v>
      </c>
      <c r="O9" s="14">
        <v>6</v>
      </c>
      <c r="P9" s="14">
        <v>17.64</v>
      </c>
      <c r="Q9" s="14">
        <v>1.3</v>
      </c>
      <c r="S9" s="12">
        <v>45401</v>
      </c>
      <c r="T9" s="14">
        <v>4970</v>
      </c>
      <c r="U9" t="s">
        <v>168</v>
      </c>
      <c r="V9" t="s">
        <v>153</v>
      </c>
      <c r="Y9" t="s">
        <v>154</v>
      </c>
      <c r="Z9" s="14">
        <v>580</v>
      </c>
      <c r="AA9">
        <v>2</v>
      </c>
      <c r="AB9" s="14">
        <v>1.06</v>
      </c>
      <c r="AD9" t="s">
        <v>174</v>
      </c>
      <c r="AE9" s="12">
        <v>45401</v>
      </c>
      <c r="AF9" t="s">
        <v>170</v>
      </c>
      <c r="AH9" t="s">
        <v>157</v>
      </c>
      <c r="AI9" s="14">
        <v>20</v>
      </c>
      <c r="AJ9">
        <v>0</v>
      </c>
      <c r="AK9">
        <v>-95</v>
      </c>
      <c r="AL9">
        <v>20</v>
      </c>
    </row>
    <row r="10" spans="1:42" x14ac:dyDescent="0.35">
      <c r="A10" t="s">
        <v>161</v>
      </c>
      <c r="B10" t="s">
        <v>151</v>
      </c>
      <c r="C10">
        <v>13</v>
      </c>
      <c r="D10" s="12">
        <v>45405</v>
      </c>
      <c r="E10" s="12">
        <v>45405</v>
      </c>
      <c r="F10" s="13">
        <v>0.6837037037037037</v>
      </c>
      <c r="G10" s="13">
        <v>0.6837037037037037</v>
      </c>
      <c r="J10" s="14">
        <v>71.95</v>
      </c>
      <c r="N10" s="14">
        <v>71.95</v>
      </c>
      <c r="P10" s="14">
        <v>0</v>
      </c>
      <c r="T10" s="14">
        <v>0</v>
      </c>
      <c r="U10" t="s">
        <v>152</v>
      </c>
      <c r="V10" t="s">
        <v>153</v>
      </c>
      <c r="Y10" t="s">
        <v>154</v>
      </c>
      <c r="Z10" s="14">
        <v>935.35</v>
      </c>
      <c r="AA10">
        <v>1</v>
      </c>
      <c r="AD10" t="s">
        <v>162</v>
      </c>
      <c r="AE10" s="12">
        <v>45405</v>
      </c>
      <c r="AF10" t="s">
        <v>156</v>
      </c>
      <c r="AG10">
        <v>13</v>
      </c>
      <c r="AH10" t="s">
        <v>157</v>
      </c>
      <c r="AJ10">
        <v>0</v>
      </c>
    </row>
    <row r="11" spans="1:42" x14ac:dyDescent="0.35">
      <c r="A11" t="s">
        <v>161</v>
      </c>
      <c r="B11" t="s">
        <v>175</v>
      </c>
      <c r="C11">
        <v>22</v>
      </c>
      <c r="D11" s="12">
        <v>45415</v>
      </c>
      <c r="E11" s="12">
        <v>45415</v>
      </c>
      <c r="F11" s="13">
        <v>0.42594907407407406</v>
      </c>
      <c r="G11" s="13">
        <v>0.42594907407407406</v>
      </c>
      <c r="J11" s="14">
        <v>17.629899999999999</v>
      </c>
      <c r="N11" s="14">
        <v>17.629899999999999</v>
      </c>
      <c r="P11" s="14">
        <v>0</v>
      </c>
      <c r="T11" s="14">
        <v>0</v>
      </c>
      <c r="U11" t="s">
        <v>152</v>
      </c>
      <c r="V11" t="s">
        <v>153</v>
      </c>
      <c r="Y11" t="s">
        <v>154</v>
      </c>
      <c r="Z11" s="14">
        <v>387.86</v>
      </c>
      <c r="AA11">
        <v>1</v>
      </c>
      <c r="AD11" t="s">
        <v>162</v>
      </c>
      <c r="AE11" s="12">
        <v>45415</v>
      </c>
      <c r="AF11" t="s">
        <v>176</v>
      </c>
      <c r="AG11">
        <v>22</v>
      </c>
      <c r="AH11" t="s">
        <v>157</v>
      </c>
      <c r="AJ1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503A-5E7B-4E7D-9992-010F13750522}">
  <sheetPr codeName="Sheet9">
    <tabColor rgb="FF00B0F0"/>
  </sheetPr>
  <dimension ref="A1:J171"/>
  <sheetViews>
    <sheetView workbookViewId="0">
      <selection activeCell="B14" sqref="B14"/>
    </sheetView>
  </sheetViews>
  <sheetFormatPr defaultRowHeight="14.5" x14ac:dyDescent="0.35"/>
  <cols>
    <col min="1" max="1" width="31.36328125" customWidth="1"/>
  </cols>
  <sheetData>
    <row r="1" spans="1:10" x14ac:dyDescent="0.35">
      <c r="B1" t="s">
        <v>220</v>
      </c>
      <c r="C1" t="s">
        <v>221</v>
      </c>
      <c r="D1" t="s">
        <v>222</v>
      </c>
      <c r="E1" t="s">
        <v>223</v>
      </c>
      <c r="F1" t="s">
        <v>224</v>
      </c>
      <c r="G1" t="s">
        <v>225</v>
      </c>
      <c r="H1" t="s">
        <v>226</v>
      </c>
      <c r="I1" t="s">
        <v>227</v>
      </c>
      <c r="J1" t="s">
        <v>228</v>
      </c>
    </row>
    <row r="2" spans="1:10" x14ac:dyDescent="0.35">
      <c r="A2" s="1" t="s">
        <v>201</v>
      </c>
    </row>
    <row r="3" spans="1:10" x14ac:dyDescent="0.35">
      <c r="A3" t="s">
        <v>229</v>
      </c>
      <c r="B3" t="s">
        <v>103</v>
      </c>
      <c r="C3" t="s">
        <v>104</v>
      </c>
      <c r="D3" t="s">
        <v>230</v>
      </c>
    </row>
    <row r="4" spans="1:10" x14ac:dyDescent="0.35">
      <c r="A4" t="s">
        <v>231</v>
      </c>
      <c r="B4" t="s">
        <v>232</v>
      </c>
      <c r="C4" t="s">
        <v>66</v>
      </c>
    </row>
    <row r="5" spans="1:10" x14ac:dyDescent="0.35">
      <c r="A5" t="s">
        <v>233</v>
      </c>
      <c r="B5" t="s">
        <v>234</v>
      </c>
      <c r="C5" t="s">
        <v>235</v>
      </c>
    </row>
    <row r="6" spans="1:10" x14ac:dyDescent="0.35">
      <c r="A6" t="s">
        <v>236</v>
      </c>
      <c r="B6" t="s">
        <v>237</v>
      </c>
    </row>
    <row r="7" spans="1:10" x14ac:dyDescent="0.35">
      <c r="A7" t="s">
        <v>238</v>
      </c>
      <c r="B7" t="s">
        <v>239</v>
      </c>
    </row>
    <row r="8" spans="1:10" x14ac:dyDescent="0.35">
      <c r="A8" t="s">
        <v>240</v>
      </c>
      <c r="B8" t="s">
        <v>241</v>
      </c>
    </row>
    <row r="9" spans="1:10" x14ac:dyDescent="0.35">
      <c r="A9" t="s">
        <v>242</v>
      </c>
      <c r="B9" t="s">
        <v>243</v>
      </c>
      <c r="C9" t="s">
        <v>244</v>
      </c>
      <c r="D9" t="s">
        <v>245</v>
      </c>
      <c r="E9" s="35" t="s">
        <v>246</v>
      </c>
    </row>
    <row r="10" spans="1:10" x14ac:dyDescent="0.35">
      <c r="A10" t="s">
        <v>247</v>
      </c>
      <c r="B10" t="s">
        <v>248</v>
      </c>
      <c r="C10" t="s">
        <v>249</v>
      </c>
      <c r="D10" t="s">
        <v>250</v>
      </c>
    </row>
    <row r="11" spans="1:10" x14ac:dyDescent="0.35">
      <c r="A11" t="s">
        <v>251</v>
      </c>
      <c r="B11" t="s">
        <v>252</v>
      </c>
      <c r="C11" t="s">
        <v>253</v>
      </c>
      <c r="D11" t="s">
        <v>254</v>
      </c>
      <c r="E11" s="35" t="s">
        <v>255</v>
      </c>
      <c r="F11" t="s">
        <v>256</v>
      </c>
    </row>
    <row r="12" spans="1:10" x14ac:dyDescent="0.35">
      <c r="A12" t="s">
        <v>257</v>
      </c>
      <c r="B12" t="s">
        <v>258</v>
      </c>
    </row>
    <row r="13" spans="1:10" x14ac:dyDescent="0.35">
      <c r="A13" t="s">
        <v>259</v>
      </c>
      <c r="B13" t="s">
        <v>260</v>
      </c>
    </row>
    <row r="14" spans="1:10" x14ac:dyDescent="0.35">
      <c r="A14" t="s">
        <v>261</v>
      </c>
      <c r="B14" t="s">
        <v>262</v>
      </c>
    </row>
    <row r="15" spans="1:10" x14ac:dyDescent="0.35">
      <c r="A15" t="s">
        <v>263</v>
      </c>
      <c r="B15" t="s">
        <v>260</v>
      </c>
    </row>
    <row r="16" spans="1:10" x14ac:dyDescent="0.35">
      <c r="A16" t="s">
        <v>264</v>
      </c>
      <c r="B16">
        <v>0.1</v>
      </c>
    </row>
    <row r="17" spans="1:7" x14ac:dyDescent="0.35">
      <c r="A17" t="s">
        <v>265</v>
      </c>
      <c r="B17" t="s">
        <v>266</v>
      </c>
      <c r="C17" t="s">
        <v>267</v>
      </c>
      <c r="D17" s="20" t="s">
        <v>268</v>
      </c>
    </row>
    <row r="18" spans="1:7" x14ac:dyDescent="0.35">
      <c r="A18" t="s">
        <v>269</v>
      </c>
      <c r="B18" t="s">
        <v>270</v>
      </c>
      <c r="C18" t="s">
        <v>243</v>
      </c>
      <c r="D18" t="s">
        <v>271</v>
      </c>
      <c r="E18" t="s">
        <v>24</v>
      </c>
      <c r="F18" t="s">
        <v>53</v>
      </c>
      <c r="G18" t="s">
        <v>272</v>
      </c>
    </row>
    <row r="19" spans="1:7" x14ac:dyDescent="0.35">
      <c r="A19" t="s">
        <v>273</v>
      </c>
    </row>
    <row r="21" spans="1:7" x14ac:dyDescent="0.35">
      <c r="A21" s="1" t="s">
        <v>200</v>
      </c>
    </row>
    <row r="22" spans="1:7" x14ac:dyDescent="0.35">
      <c r="A22" t="s">
        <v>229</v>
      </c>
      <c r="B22" t="s">
        <v>274</v>
      </c>
    </row>
    <row r="23" spans="1:7" x14ac:dyDescent="0.35">
      <c r="A23" t="s">
        <v>231</v>
      </c>
      <c r="B23" t="s">
        <v>232</v>
      </c>
      <c r="C23" t="s">
        <v>66</v>
      </c>
    </row>
    <row r="24" spans="1:7" x14ac:dyDescent="0.35">
      <c r="A24" t="s">
        <v>233</v>
      </c>
      <c r="B24" t="s">
        <v>275</v>
      </c>
    </row>
    <row r="25" spans="1:7" x14ac:dyDescent="0.35">
      <c r="A25" t="s">
        <v>236</v>
      </c>
      <c r="B25" t="s">
        <v>276</v>
      </c>
    </row>
    <row r="26" spans="1:7" x14ac:dyDescent="0.35">
      <c r="A26" t="s">
        <v>238</v>
      </c>
      <c r="B26" t="s">
        <v>277</v>
      </c>
    </row>
    <row r="27" spans="1:7" x14ac:dyDescent="0.35">
      <c r="A27" t="s">
        <v>240</v>
      </c>
      <c r="B27" t="s">
        <v>278</v>
      </c>
    </row>
    <row r="28" spans="1:7" x14ac:dyDescent="0.35">
      <c r="A28" t="s">
        <v>242</v>
      </c>
      <c r="B28" t="s">
        <v>72</v>
      </c>
    </row>
    <row r="29" spans="1:7" x14ac:dyDescent="0.35">
      <c r="A29" t="s">
        <v>247</v>
      </c>
      <c r="B29" t="s">
        <v>72</v>
      </c>
    </row>
    <row r="30" spans="1:7" x14ac:dyDescent="0.35">
      <c r="A30" t="s">
        <v>251</v>
      </c>
      <c r="B30" t="s">
        <v>279</v>
      </c>
      <c r="C30" t="s">
        <v>280</v>
      </c>
    </row>
    <row r="31" spans="1:7" x14ac:dyDescent="0.35">
      <c r="A31" t="s">
        <v>257</v>
      </c>
      <c r="B31" t="s">
        <v>281</v>
      </c>
    </row>
    <row r="32" spans="1:7" x14ac:dyDescent="0.35">
      <c r="A32" t="s">
        <v>259</v>
      </c>
      <c r="B32" t="s">
        <v>72</v>
      </c>
    </row>
    <row r="33" spans="1:5" x14ac:dyDescent="0.35">
      <c r="A33" t="s">
        <v>261</v>
      </c>
      <c r="B33" t="s">
        <v>282</v>
      </c>
    </row>
    <row r="34" spans="1:5" x14ac:dyDescent="0.35">
      <c r="A34" t="s">
        <v>263</v>
      </c>
      <c r="B34" t="s">
        <v>260</v>
      </c>
    </row>
    <row r="35" spans="1:5" x14ac:dyDescent="0.35">
      <c r="A35" t="s">
        <v>264</v>
      </c>
      <c r="B35">
        <v>0.1</v>
      </c>
    </row>
    <row r="36" spans="1:5" x14ac:dyDescent="0.35">
      <c r="A36" t="s">
        <v>265</v>
      </c>
      <c r="B36" t="s">
        <v>283</v>
      </c>
      <c r="C36" t="s">
        <v>284</v>
      </c>
      <c r="D36" s="20" t="s">
        <v>268</v>
      </c>
    </row>
    <row r="37" spans="1:5" x14ac:dyDescent="0.35">
      <c r="A37" t="s">
        <v>269</v>
      </c>
      <c r="B37" t="s">
        <v>171</v>
      </c>
      <c r="C37" t="s">
        <v>243</v>
      </c>
      <c r="D37" t="s">
        <v>272</v>
      </c>
    </row>
    <row r="38" spans="1:5" x14ac:dyDescent="0.35">
      <c r="A38" t="s">
        <v>273</v>
      </c>
    </row>
    <row r="40" spans="1:5" x14ac:dyDescent="0.35">
      <c r="A40" s="1" t="s">
        <v>202</v>
      </c>
    </row>
    <row r="41" spans="1:5" x14ac:dyDescent="0.35">
      <c r="A41" t="s">
        <v>229</v>
      </c>
      <c r="B41" t="s">
        <v>103</v>
      </c>
      <c r="C41" t="s">
        <v>104</v>
      </c>
      <c r="D41" t="s">
        <v>230</v>
      </c>
    </row>
    <row r="42" spans="1:5" x14ac:dyDescent="0.35">
      <c r="A42" t="s">
        <v>231</v>
      </c>
      <c r="B42" t="s">
        <v>232</v>
      </c>
      <c r="C42" t="s">
        <v>66</v>
      </c>
    </row>
    <row r="43" spans="1:5" x14ac:dyDescent="0.35">
      <c r="A43" t="s">
        <v>233</v>
      </c>
      <c r="B43" t="s">
        <v>285</v>
      </c>
      <c r="C43" t="s">
        <v>235</v>
      </c>
    </row>
    <row r="44" spans="1:5" x14ac:dyDescent="0.35">
      <c r="A44" t="s">
        <v>236</v>
      </c>
      <c r="B44" t="s">
        <v>237</v>
      </c>
    </row>
    <row r="45" spans="1:5" x14ac:dyDescent="0.35">
      <c r="A45" t="s">
        <v>238</v>
      </c>
      <c r="B45" t="s">
        <v>239</v>
      </c>
    </row>
    <row r="46" spans="1:5" x14ac:dyDescent="0.35">
      <c r="A46" t="s">
        <v>240</v>
      </c>
      <c r="B46" t="s">
        <v>241</v>
      </c>
    </row>
    <row r="47" spans="1:5" x14ac:dyDescent="0.35">
      <c r="A47" t="s">
        <v>242</v>
      </c>
      <c r="B47" t="s">
        <v>243</v>
      </c>
      <c r="C47" t="s">
        <v>286</v>
      </c>
      <c r="D47" t="s">
        <v>245</v>
      </c>
      <c r="E47" s="35" t="s">
        <v>246</v>
      </c>
    </row>
    <row r="48" spans="1:5" x14ac:dyDescent="0.35">
      <c r="A48" t="s">
        <v>247</v>
      </c>
      <c r="B48" t="s">
        <v>248</v>
      </c>
      <c r="C48" t="s">
        <v>249</v>
      </c>
      <c r="D48" t="s">
        <v>250</v>
      </c>
    </row>
    <row r="49" spans="1:7" x14ac:dyDescent="0.35">
      <c r="A49" t="s">
        <v>251</v>
      </c>
      <c r="B49" t="s">
        <v>252</v>
      </c>
      <c r="C49" t="s">
        <v>253</v>
      </c>
      <c r="D49" t="s">
        <v>254</v>
      </c>
      <c r="E49" s="35" t="s">
        <v>255</v>
      </c>
      <c r="F49" t="s">
        <v>256</v>
      </c>
    </row>
    <row r="50" spans="1:7" x14ac:dyDescent="0.35">
      <c r="A50" t="s">
        <v>257</v>
      </c>
      <c r="B50" t="s">
        <v>287</v>
      </c>
      <c r="C50" t="s">
        <v>288</v>
      </c>
    </row>
    <row r="51" spans="1:7" x14ac:dyDescent="0.35">
      <c r="A51" t="s">
        <v>259</v>
      </c>
      <c r="B51" t="s">
        <v>260</v>
      </c>
    </row>
    <row r="52" spans="1:7" x14ac:dyDescent="0.35">
      <c r="A52" t="s">
        <v>261</v>
      </c>
      <c r="B52" t="s">
        <v>262</v>
      </c>
    </row>
    <row r="53" spans="1:7" x14ac:dyDescent="0.35">
      <c r="A53" t="s">
        <v>263</v>
      </c>
      <c r="B53" t="s">
        <v>260</v>
      </c>
    </row>
    <row r="54" spans="1:7" x14ac:dyDescent="0.35">
      <c r="A54" t="s">
        <v>264</v>
      </c>
      <c r="B54">
        <v>0.1</v>
      </c>
    </row>
    <row r="55" spans="1:7" x14ac:dyDescent="0.35">
      <c r="A55" t="s">
        <v>265</v>
      </c>
      <c r="B55" t="s">
        <v>266</v>
      </c>
      <c r="C55" t="s">
        <v>267</v>
      </c>
      <c r="D55" s="20" t="s">
        <v>268</v>
      </c>
    </row>
    <row r="56" spans="1:7" x14ac:dyDescent="0.35">
      <c r="A56" t="s">
        <v>269</v>
      </c>
      <c r="B56" t="s">
        <v>289</v>
      </c>
      <c r="C56" t="s">
        <v>243</v>
      </c>
      <c r="D56" t="s">
        <v>271</v>
      </c>
      <c r="E56" t="s">
        <v>24</v>
      </c>
      <c r="F56" t="s">
        <v>53</v>
      </c>
      <c r="G56" t="s">
        <v>272</v>
      </c>
    </row>
    <row r="57" spans="1:7" x14ac:dyDescent="0.35">
      <c r="A57" t="s">
        <v>273</v>
      </c>
    </row>
    <row r="59" spans="1:7" x14ac:dyDescent="0.35">
      <c r="A59" s="1" t="s">
        <v>203</v>
      </c>
    </row>
    <row r="60" spans="1:7" x14ac:dyDescent="0.35">
      <c r="A60" t="s">
        <v>229</v>
      </c>
      <c r="B60" t="s">
        <v>103</v>
      </c>
      <c r="C60" t="s">
        <v>104</v>
      </c>
      <c r="D60" t="s">
        <v>230</v>
      </c>
      <c r="E60" t="s">
        <v>290</v>
      </c>
    </row>
    <row r="61" spans="1:7" x14ac:dyDescent="0.35">
      <c r="A61" t="s">
        <v>231</v>
      </c>
      <c r="B61" t="s">
        <v>232</v>
      </c>
      <c r="C61" t="s">
        <v>66</v>
      </c>
    </row>
    <row r="62" spans="1:7" x14ac:dyDescent="0.35">
      <c r="A62" t="s">
        <v>233</v>
      </c>
      <c r="B62" t="s">
        <v>291</v>
      </c>
      <c r="C62" t="s">
        <v>235</v>
      </c>
    </row>
    <row r="63" spans="1:7" x14ac:dyDescent="0.35">
      <c r="A63" t="s">
        <v>236</v>
      </c>
      <c r="B63" t="s">
        <v>237</v>
      </c>
    </row>
    <row r="64" spans="1:7" x14ac:dyDescent="0.35">
      <c r="A64" t="s">
        <v>238</v>
      </c>
      <c r="B64" t="s">
        <v>239</v>
      </c>
    </row>
    <row r="65" spans="1:7" x14ac:dyDescent="0.35">
      <c r="A65" t="s">
        <v>240</v>
      </c>
      <c r="B65" t="s">
        <v>241</v>
      </c>
    </row>
    <row r="66" spans="1:7" x14ac:dyDescent="0.35">
      <c r="A66" t="s">
        <v>242</v>
      </c>
      <c r="B66" t="s">
        <v>243</v>
      </c>
      <c r="C66" t="s">
        <v>244</v>
      </c>
      <c r="D66" t="s">
        <v>245</v>
      </c>
      <c r="E66" s="35" t="s">
        <v>246</v>
      </c>
    </row>
    <row r="67" spans="1:7" x14ac:dyDescent="0.35">
      <c r="A67" t="s">
        <v>247</v>
      </c>
      <c r="B67" t="s">
        <v>248</v>
      </c>
      <c r="C67" t="s">
        <v>249</v>
      </c>
      <c r="D67" t="s">
        <v>250</v>
      </c>
    </row>
    <row r="68" spans="1:7" x14ac:dyDescent="0.35">
      <c r="A68" t="s">
        <v>251</v>
      </c>
      <c r="B68" t="s">
        <v>252</v>
      </c>
      <c r="C68" t="s">
        <v>253</v>
      </c>
      <c r="D68" t="s">
        <v>254</v>
      </c>
      <c r="E68" s="35" t="s">
        <v>255</v>
      </c>
      <c r="F68" t="s">
        <v>256</v>
      </c>
    </row>
    <row r="69" spans="1:7" x14ac:dyDescent="0.35">
      <c r="A69" t="s">
        <v>257</v>
      </c>
      <c r="B69" t="s">
        <v>287</v>
      </c>
      <c r="C69" t="s">
        <v>288</v>
      </c>
    </row>
    <row r="70" spans="1:7" x14ac:dyDescent="0.35">
      <c r="A70" t="s">
        <v>259</v>
      </c>
      <c r="B70" t="s">
        <v>260</v>
      </c>
    </row>
    <row r="71" spans="1:7" x14ac:dyDescent="0.35">
      <c r="A71" t="s">
        <v>261</v>
      </c>
      <c r="B71" t="s">
        <v>282</v>
      </c>
    </row>
    <row r="72" spans="1:7" x14ac:dyDescent="0.35">
      <c r="A72" t="s">
        <v>263</v>
      </c>
      <c r="B72" t="s">
        <v>260</v>
      </c>
    </row>
    <row r="73" spans="1:7" x14ac:dyDescent="0.35">
      <c r="A73" t="s">
        <v>264</v>
      </c>
      <c r="B73">
        <v>0.1</v>
      </c>
    </row>
    <row r="74" spans="1:7" x14ac:dyDescent="0.35">
      <c r="A74" t="s">
        <v>265</v>
      </c>
      <c r="B74" t="s">
        <v>266</v>
      </c>
      <c r="C74" t="s">
        <v>267</v>
      </c>
      <c r="D74" s="20" t="s">
        <v>268</v>
      </c>
    </row>
    <row r="75" spans="1:7" x14ac:dyDescent="0.35">
      <c r="A75" t="s">
        <v>269</v>
      </c>
      <c r="B75" t="s">
        <v>292</v>
      </c>
      <c r="C75" t="s">
        <v>243</v>
      </c>
      <c r="D75" t="s">
        <v>271</v>
      </c>
      <c r="E75" t="s">
        <v>24</v>
      </c>
      <c r="F75" t="s">
        <v>53</v>
      </c>
      <c r="G75" t="s">
        <v>272</v>
      </c>
    </row>
    <row r="76" spans="1:7" x14ac:dyDescent="0.35">
      <c r="A76" t="s">
        <v>273</v>
      </c>
    </row>
    <row r="78" spans="1:7" x14ac:dyDescent="0.35">
      <c r="A78" s="1" t="s">
        <v>204</v>
      </c>
    </row>
    <row r="79" spans="1:7" x14ac:dyDescent="0.35">
      <c r="A79" t="s">
        <v>229</v>
      </c>
      <c r="B79" t="s">
        <v>103</v>
      </c>
      <c r="C79" t="s">
        <v>104</v>
      </c>
      <c r="D79" t="s">
        <v>230</v>
      </c>
      <c r="E79" t="s">
        <v>290</v>
      </c>
    </row>
    <row r="80" spans="1:7" x14ac:dyDescent="0.35">
      <c r="A80" t="s">
        <v>231</v>
      </c>
      <c r="B80" t="s">
        <v>232</v>
      </c>
      <c r="C80" t="s">
        <v>66</v>
      </c>
    </row>
    <row r="81" spans="1:8" x14ac:dyDescent="0.35">
      <c r="A81" t="s">
        <v>233</v>
      </c>
      <c r="B81" t="s">
        <v>291</v>
      </c>
      <c r="C81" t="s">
        <v>293</v>
      </c>
    </row>
    <row r="82" spans="1:8" x14ac:dyDescent="0.35">
      <c r="A82" t="s">
        <v>236</v>
      </c>
      <c r="B82" s="35" t="s">
        <v>294</v>
      </c>
    </row>
    <row r="83" spans="1:8" x14ac:dyDescent="0.35">
      <c r="A83" t="s">
        <v>238</v>
      </c>
      <c r="B83" t="s">
        <v>239</v>
      </c>
    </row>
    <row r="84" spans="1:8" x14ac:dyDescent="0.35">
      <c r="A84" t="s">
        <v>240</v>
      </c>
      <c r="B84" t="s">
        <v>295</v>
      </c>
    </row>
    <row r="85" spans="1:8" x14ac:dyDescent="0.35">
      <c r="A85" t="s">
        <v>242</v>
      </c>
      <c r="B85" t="s">
        <v>243</v>
      </c>
      <c r="C85" t="s">
        <v>244</v>
      </c>
      <c r="D85" t="s">
        <v>245</v>
      </c>
      <c r="E85" s="35" t="s">
        <v>246</v>
      </c>
    </row>
    <row r="86" spans="1:8" x14ac:dyDescent="0.35">
      <c r="A86" t="s">
        <v>247</v>
      </c>
      <c r="B86" t="s">
        <v>248</v>
      </c>
      <c r="C86" t="s">
        <v>249</v>
      </c>
      <c r="D86" t="s">
        <v>250</v>
      </c>
    </row>
    <row r="87" spans="1:8" x14ac:dyDescent="0.35">
      <c r="A87" t="s">
        <v>251</v>
      </c>
      <c r="B87" t="s">
        <v>252</v>
      </c>
      <c r="C87" t="s">
        <v>253</v>
      </c>
      <c r="D87" t="s">
        <v>254</v>
      </c>
      <c r="E87" s="35" t="s">
        <v>255</v>
      </c>
      <c r="F87" t="s">
        <v>256</v>
      </c>
      <c r="G87" t="s">
        <v>296</v>
      </c>
    </row>
    <row r="88" spans="1:8" x14ac:dyDescent="0.35">
      <c r="A88" t="s">
        <v>257</v>
      </c>
      <c r="B88" t="s">
        <v>297</v>
      </c>
      <c r="C88" t="s">
        <v>288</v>
      </c>
    </row>
    <row r="89" spans="1:8" x14ac:dyDescent="0.35">
      <c r="A89" t="s">
        <v>259</v>
      </c>
      <c r="B89" t="s">
        <v>260</v>
      </c>
    </row>
    <row r="90" spans="1:8" x14ac:dyDescent="0.35">
      <c r="A90" t="s">
        <v>261</v>
      </c>
      <c r="B90" t="s">
        <v>282</v>
      </c>
    </row>
    <row r="91" spans="1:8" x14ac:dyDescent="0.35">
      <c r="A91" t="s">
        <v>263</v>
      </c>
      <c r="B91" t="s">
        <v>260</v>
      </c>
    </row>
    <row r="92" spans="1:8" x14ac:dyDescent="0.35">
      <c r="A92" t="s">
        <v>264</v>
      </c>
      <c r="B92">
        <v>0.1</v>
      </c>
    </row>
    <row r="93" spans="1:8" x14ac:dyDescent="0.35">
      <c r="A93" t="s">
        <v>265</v>
      </c>
      <c r="B93" t="s">
        <v>266</v>
      </c>
      <c r="C93" t="s">
        <v>267</v>
      </c>
      <c r="D93" s="20" t="s">
        <v>268</v>
      </c>
    </row>
    <row r="94" spans="1:8" x14ac:dyDescent="0.35">
      <c r="A94" t="s">
        <v>269</v>
      </c>
      <c r="B94" t="s">
        <v>298</v>
      </c>
      <c r="C94" t="s">
        <v>243</v>
      </c>
      <c r="D94" t="s">
        <v>271</v>
      </c>
      <c r="E94" t="s">
        <v>24</v>
      </c>
      <c r="F94" t="s">
        <v>53</v>
      </c>
      <c r="G94" t="s">
        <v>272</v>
      </c>
      <c r="H94" t="s">
        <v>299</v>
      </c>
    </row>
    <row r="95" spans="1:8" x14ac:dyDescent="0.35">
      <c r="A95" t="s">
        <v>273</v>
      </c>
    </row>
    <row r="97" spans="1:8" x14ac:dyDescent="0.35">
      <c r="A97" s="1" t="s">
        <v>205</v>
      </c>
    </row>
    <row r="98" spans="1:8" x14ac:dyDescent="0.35">
      <c r="A98" t="s">
        <v>229</v>
      </c>
      <c r="B98" t="s">
        <v>103</v>
      </c>
      <c r="C98" t="s">
        <v>104</v>
      </c>
      <c r="D98" t="s">
        <v>230</v>
      </c>
      <c r="E98" t="s">
        <v>300</v>
      </c>
    </row>
    <row r="99" spans="1:8" x14ac:dyDescent="0.35">
      <c r="A99" t="s">
        <v>231</v>
      </c>
      <c r="B99" t="s">
        <v>232</v>
      </c>
      <c r="C99" t="s">
        <v>66</v>
      </c>
    </row>
    <row r="100" spans="1:8" x14ac:dyDescent="0.35">
      <c r="A100" t="s">
        <v>233</v>
      </c>
      <c r="B100" t="s">
        <v>301</v>
      </c>
      <c r="C100" t="s">
        <v>302</v>
      </c>
    </row>
    <row r="101" spans="1:8" x14ac:dyDescent="0.35">
      <c r="A101" t="s">
        <v>236</v>
      </c>
      <c r="B101" s="35" t="s">
        <v>303</v>
      </c>
    </row>
    <row r="102" spans="1:8" x14ac:dyDescent="0.35">
      <c r="A102" t="s">
        <v>238</v>
      </c>
      <c r="B102" t="s">
        <v>304</v>
      </c>
    </row>
    <row r="103" spans="1:8" x14ac:dyDescent="0.35">
      <c r="A103" t="s">
        <v>240</v>
      </c>
      <c r="B103" s="35" t="s">
        <v>305</v>
      </c>
    </row>
    <row r="104" spans="1:8" x14ac:dyDescent="0.35">
      <c r="A104" t="s">
        <v>242</v>
      </c>
      <c r="B104" t="s">
        <v>243</v>
      </c>
      <c r="C104" t="s">
        <v>244</v>
      </c>
      <c r="D104" t="s">
        <v>245</v>
      </c>
      <c r="E104" t="s">
        <v>246</v>
      </c>
    </row>
    <row r="105" spans="1:8" x14ac:dyDescent="0.35">
      <c r="A105" t="s">
        <v>247</v>
      </c>
      <c r="B105" t="s">
        <v>248</v>
      </c>
      <c r="C105" t="s">
        <v>249</v>
      </c>
      <c r="D105" t="s">
        <v>250</v>
      </c>
    </row>
    <row r="106" spans="1:8" x14ac:dyDescent="0.35">
      <c r="A106" t="s">
        <v>251</v>
      </c>
      <c r="B106" t="s">
        <v>252</v>
      </c>
      <c r="C106" t="s">
        <v>253</v>
      </c>
      <c r="D106" t="s">
        <v>254</v>
      </c>
      <c r="E106" s="35" t="s">
        <v>255</v>
      </c>
      <c r="F106" t="s">
        <v>256</v>
      </c>
      <c r="G106" t="s">
        <v>296</v>
      </c>
      <c r="H106" t="s">
        <v>306</v>
      </c>
    </row>
    <row r="107" spans="1:8" x14ac:dyDescent="0.35">
      <c r="A107" t="s">
        <v>257</v>
      </c>
      <c r="B107" t="s">
        <v>297</v>
      </c>
      <c r="C107" t="s">
        <v>288</v>
      </c>
      <c r="D107" t="s">
        <v>307</v>
      </c>
    </row>
    <row r="108" spans="1:8" x14ac:dyDescent="0.35">
      <c r="A108" t="s">
        <v>259</v>
      </c>
      <c r="B108" t="s">
        <v>260</v>
      </c>
    </row>
    <row r="109" spans="1:8" x14ac:dyDescent="0.35">
      <c r="A109" t="s">
        <v>261</v>
      </c>
      <c r="B109" t="s">
        <v>308</v>
      </c>
    </row>
    <row r="110" spans="1:8" x14ac:dyDescent="0.35">
      <c r="A110" t="s">
        <v>263</v>
      </c>
      <c r="B110" t="s">
        <v>260</v>
      </c>
    </row>
    <row r="111" spans="1:8" x14ac:dyDescent="0.35">
      <c r="A111" t="s">
        <v>264</v>
      </c>
      <c r="B111">
        <v>0.1</v>
      </c>
    </row>
    <row r="112" spans="1:8" x14ac:dyDescent="0.35">
      <c r="A112" t="s">
        <v>265</v>
      </c>
      <c r="B112" t="s">
        <v>266</v>
      </c>
      <c r="C112" t="s">
        <v>267</v>
      </c>
      <c r="D112" s="20" t="s">
        <v>268</v>
      </c>
    </row>
    <row r="113" spans="1:9" x14ac:dyDescent="0.35">
      <c r="A113" t="s">
        <v>269</v>
      </c>
      <c r="B113" t="s">
        <v>309</v>
      </c>
      <c r="C113" t="s">
        <v>243</v>
      </c>
      <c r="D113" t="s">
        <v>271</v>
      </c>
      <c r="E113" t="s">
        <v>24</v>
      </c>
      <c r="F113" t="s">
        <v>53</v>
      </c>
      <c r="G113" t="s">
        <v>272</v>
      </c>
      <c r="H113" t="s">
        <v>299</v>
      </c>
    </row>
    <row r="114" spans="1:9" x14ac:dyDescent="0.35">
      <c r="A114" t="s">
        <v>273</v>
      </c>
      <c r="B114" t="s">
        <v>310</v>
      </c>
    </row>
    <row r="116" spans="1:9" x14ac:dyDescent="0.35">
      <c r="A116" s="1" t="s">
        <v>206</v>
      </c>
    </row>
    <row r="117" spans="1:9" x14ac:dyDescent="0.35">
      <c r="A117" t="s">
        <v>229</v>
      </c>
      <c r="B117" t="s">
        <v>103</v>
      </c>
      <c r="C117" t="s">
        <v>104</v>
      </c>
      <c r="D117" t="s">
        <v>230</v>
      </c>
      <c r="E117" t="s">
        <v>300</v>
      </c>
    </row>
    <row r="118" spans="1:9" x14ac:dyDescent="0.35">
      <c r="A118" t="s">
        <v>231</v>
      </c>
      <c r="B118" t="s">
        <v>232</v>
      </c>
      <c r="C118" t="s">
        <v>66</v>
      </c>
    </row>
    <row r="119" spans="1:9" x14ac:dyDescent="0.35">
      <c r="A119" t="s">
        <v>233</v>
      </c>
      <c r="B119" t="s">
        <v>311</v>
      </c>
      <c r="C119" t="s">
        <v>312</v>
      </c>
    </row>
    <row r="120" spans="1:9" x14ac:dyDescent="0.35">
      <c r="A120" t="s">
        <v>236</v>
      </c>
      <c r="B120" s="35" t="s">
        <v>303</v>
      </c>
    </row>
    <row r="121" spans="1:9" x14ac:dyDescent="0.35">
      <c r="A121" t="s">
        <v>238</v>
      </c>
      <c r="B121" t="s">
        <v>304</v>
      </c>
    </row>
    <row r="122" spans="1:9" x14ac:dyDescent="0.35">
      <c r="A122" t="s">
        <v>240</v>
      </c>
      <c r="B122" s="35" t="s">
        <v>313</v>
      </c>
      <c r="C122" t="s">
        <v>314</v>
      </c>
    </row>
    <row r="123" spans="1:9" x14ac:dyDescent="0.35">
      <c r="A123" t="s">
        <v>242</v>
      </c>
      <c r="B123" t="s">
        <v>243</v>
      </c>
      <c r="C123" t="s">
        <v>244</v>
      </c>
      <c r="D123" t="s">
        <v>245</v>
      </c>
      <c r="E123" t="s">
        <v>315</v>
      </c>
    </row>
    <row r="124" spans="1:9" x14ac:dyDescent="0.35">
      <c r="A124" t="s">
        <v>247</v>
      </c>
      <c r="B124" t="s">
        <v>248</v>
      </c>
      <c r="C124" t="s">
        <v>249</v>
      </c>
      <c r="D124" t="s">
        <v>250</v>
      </c>
    </row>
    <row r="125" spans="1:9" x14ac:dyDescent="0.35">
      <c r="A125" t="s">
        <v>251</v>
      </c>
      <c r="B125" t="s">
        <v>252</v>
      </c>
      <c r="C125" t="s">
        <v>253</v>
      </c>
      <c r="D125" t="s">
        <v>254</v>
      </c>
      <c r="E125" s="35" t="s">
        <v>316</v>
      </c>
      <c r="F125" t="s">
        <v>317</v>
      </c>
      <c r="G125" t="s">
        <v>318</v>
      </c>
      <c r="H125" t="s">
        <v>319</v>
      </c>
      <c r="I125" t="s">
        <v>320</v>
      </c>
    </row>
    <row r="126" spans="1:9" x14ac:dyDescent="0.35">
      <c r="A126" t="s">
        <v>257</v>
      </c>
      <c r="B126" t="s">
        <v>297</v>
      </c>
      <c r="C126" t="s">
        <v>288</v>
      </c>
    </row>
    <row r="127" spans="1:9" x14ac:dyDescent="0.35">
      <c r="A127" t="s">
        <v>259</v>
      </c>
      <c r="B127" t="s">
        <v>260</v>
      </c>
    </row>
    <row r="128" spans="1:9" x14ac:dyDescent="0.35">
      <c r="A128" t="s">
        <v>261</v>
      </c>
      <c r="B128" t="s">
        <v>308</v>
      </c>
    </row>
    <row r="129" spans="1:7" x14ac:dyDescent="0.35">
      <c r="A129" t="s">
        <v>263</v>
      </c>
      <c r="B129" t="s">
        <v>260</v>
      </c>
    </row>
    <row r="130" spans="1:7" x14ac:dyDescent="0.35">
      <c r="A130" t="s">
        <v>264</v>
      </c>
      <c r="B130">
        <v>0.1</v>
      </c>
    </row>
    <row r="131" spans="1:7" x14ac:dyDescent="0.35">
      <c r="A131" t="s">
        <v>265</v>
      </c>
      <c r="B131" t="s">
        <v>266</v>
      </c>
      <c r="C131" t="s">
        <v>267</v>
      </c>
      <c r="D131" s="20" t="s">
        <v>268</v>
      </c>
    </row>
    <row r="132" spans="1:7" x14ac:dyDescent="0.35">
      <c r="A132" t="s">
        <v>269</v>
      </c>
      <c r="B132" t="s">
        <v>321</v>
      </c>
      <c r="C132" t="s">
        <v>243</v>
      </c>
      <c r="D132" t="s">
        <v>271</v>
      </c>
      <c r="E132" t="s">
        <v>24</v>
      </c>
      <c r="F132" t="s">
        <v>272</v>
      </c>
      <c r="G132" t="s">
        <v>299</v>
      </c>
    </row>
    <row r="133" spans="1:7" x14ac:dyDescent="0.35">
      <c r="A133" t="s">
        <v>273</v>
      </c>
      <c r="B133" t="s">
        <v>322</v>
      </c>
      <c r="C133" t="s">
        <v>323</v>
      </c>
    </row>
    <row r="135" spans="1:7" x14ac:dyDescent="0.35">
      <c r="A135" s="1" t="s">
        <v>207</v>
      </c>
    </row>
    <row r="136" spans="1:7" x14ac:dyDescent="0.35">
      <c r="A136" t="s">
        <v>229</v>
      </c>
      <c r="B136" t="s">
        <v>103</v>
      </c>
      <c r="C136" t="s">
        <v>104</v>
      </c>
      <c r="D136" t="s">
        <v>230</v>
      </c>
      <c r="E136" t="s">
        <v>300</v>
      </c>
    </row>
    <row r="137" spans="1:7" x14ac:dyDescent="0.35">
      <c r="A137" t="s">
        <v>231</v>
      </c>
      <c r="B137" t="s">
        <v>232</v>
      </c>
      <c r="C137" t="s">
        <v>66</v>
      </c>
    </row>
    <row r="138" spans="1:7" x14ac:dyDescent="0.35">
      <c r="A138" t="s">
        <v>233</v>
      </c>
      <c r="B138" t="s">
        <v>311</v>
      </c>
      <c r="C138" t="s">
        <v>324</v>
      </c>
    </row>
    <row r="139" spans="1:7" x14ac:dyDescent="0.35">
      <c r="A139" t="s">
        <v>236</v>
      </c>
      <c r="B139" s="35" t="s">
        <v>325</v>
      </c>
    </row>
    <row r="140" spans="1:7" x14ac:dyDescent="0.35">
      <c r="A140" t="s">
        <v>238</v>
      </c>
      <c r="B140" t="s">
        <v>326</v>
      </c>
    </row>
    <row r="141" spans="1:7" x14ac:dyDescent="0.35">
      <c r="A141" t="s">
        <v>240</v>
      </c>
      <c r="B141" s="35" t="s">
        <v>327</v>
      </c>
    </row>
    <row r="142" spans="1:7" x14ac:dyDescent="0.35">
      <c r="A142" t="s">
        <v>242</v>
      </c>
      <c r="B142" t="s">
        <v>243</v>
      </c>
      <c r="C142" t="s">
        <v>244</v>
      </c>
      <c r="D142" t="s">
        <v>245</v>
      </c>
      <c r="E142" t="s">
        <v>315</v>
      </c>
    </row>
    <row r="143" spans="1:7" x14ac:dyDescent="0.35">
      <c r="A143" t="s">
        <v>247</v>
      </c>
      <c r="B143" t="s">
        <v>248</v>
      </c>
      <c r="C143" t="s">
        <v>249</v>
      </c>
      <c r="D143" t="s">
        <v>250</v>
      </c>
    </row>
    <row r="144" spans="1:7" x14ac:dyDescent="0.35">
      <c r="A144" t="s">
        <v>251</v>
      </c>
      <c r="B144" t="s">
        <v>252</v>
      </c>
      <c r="C144" t="s">
        <v>253</v>
      </c>
      <c r="D144" t="s">
        <v>254</v>
      </c>
      <c r="E144" s="35" t="s">
        <v>316</v>
      </c>
      <c r="F144" t="s">
        <v>318</v>
      </c>
      <c r="G144" t="s">
        <v>319</v>
      </c>
    </row>
    <row r="145" spans="1:7" x14ac:dyDescent="0.35">
      <c r="A145" t="s">
        <v>257</v>
      </c>
      <c r="B145" t="s">
        <v>297</v>
      </c>
      <c r="C145" t="s">
        <v>288</v>
      </c>
    </row>
    <row r="146" spans="1:7" x14ac:dyDescent="0.35">
      <c r="A146" t="s">
        <v>259</v>
      </c>
      <c r="B146" t="s">
        <v>260</v>
      </c>
    </row>
    <row r="147" spans="1:7" x14ac:dyDescent="0.35">
      <c r="A147" t="s">
        <v>261</v>
      </c>
      <c r="B147" t="s">
        <v>308</v>
      </c>
    </row>
    <row r="148" spans="1:7" x14ac:dyDescent="0.35">
      <c r="A148" t="s">
        <v>263</v>
      </c>
      <c r="B148" t="s">
        <v>260</v>
      </c>
    </row>
    <row r="149" spans="1:7" x14ac:dyDescent="0.35">
      <c r="A149" t="s">
        <v>264</v>
      </c>
      <c r="B149">
        <v>0.1</v>
      </c>
    </row>
    <row r="150" spans="1:7" x14ac:dyDescent="0.35">
      <c r="A150" t="s">
        <v>265</v>
      </c>
      <c r="B150" t="s">
        <v>266</v>
      </c>
      <c r="C150" t="s">
        <v>267</v>
      </c>
      <c r="D150" s="20" t="s">
        <v>268</v>
      </c>
    </row>
    <row r="151" spans="1:7" x14ac:dyDescent="0.35">
      <c r="A151" t="s">
        <v>269</v>
      </c>
      <c r="B151" t="s">
        <v>328</v>
      </c>
      <c r="C151" t="s">
        <v>243</v>
      </c>
      <c r="D151" t="s">
        <v>271</v>
      </c>
      <c r="E151" t="s">
        <v>24</v>
      </c>
      <c r="F151" t="s">
        <v>272</v>
      </c>
      <c r="G151" t="s">
        <v>299</v>
      </c>
    </row>
    <row r="152" spans="1:7" x14ac:dyDescent="0.35">
      <c r="A152" t="s">
        <v>273</v>
      </c>
    </row>
    <row r="154" spans="1:7" x14ac:dyDescent="0.35">
      <c r="A154" s="1" t="s">
        <v>208</v>
      </c>
    </row>
    <row r="155" spans="1:7" x14ac:dyDescent="0.35">
      <c r="A155" t="s">
        <v>229</v>
      </c>
      <c r="B155" t="s">
        <v>329</v>
      </c>
    </row>
    <row r="156" spans="1:7" x14ac:dyDescent="0.35">
      <c r="A156" t="s">
        <v>231</v>
      </c>
      <c r="B156" t="s">
        <v>232</v>
      </c>
      <c r="C156" t="s">
        <v>66</v>
      </c>
    </row>
    <row r="157" spans="1:7" x14ac:dyDescent="0.35">
      <c r="A157" t="s">
        <v>233</v>
      </c>
      <c r="B157" t="s">
        <v>275</v>
      </c>
    </row>
    <row r="158" spans="1:7" x14ac:dyDescent="0.35">
      <c r="A158" t="s">
        <v>236</v>
      </c>
      <c r="B158" t="s">
        <v>330</v>
      </c>
    </row>
    <row r="159" spans="1:7" x14ac:dyDescent="0.35">
      <c r="A159" t="s">
        <v>238</v>
      </c>
      <c r="B159" t="s">
        <v>277</v>
      </c>
    </row>
    <row r="160" spans="1:7" x14ac:dyDescent="0.35">
      <c r="A160" t="s">
        <v>240</v>
      </c>
      <c r="B160" t="s">
        <v>331</v>
      </c>
    </row>
    <row r="161" spans="1:5" x14ac:dyDescent="0.35">
      <c r="A161" t="s">
        <v>242</v>
      </c>
      <c r="B161" t="s">
        <v>72</v>
      </c>
    </row>
    <row r="162" spans="1:5" x14ac:dyDescent="0.35">
      <c r="A162" t="s">
        <v>247</v>
      </c>
      <c r="B162" t="s">
        <v>72</v>
      </c>
    </row>
    <row r="163" spans="1:5" x14ac:dyDescent="0.35">
      <c r="A163" t="s">
        <v>251</v>
      </c>
    </row>
    <row r="164" spans="1:5" x14ac:dyDescent="0.35">
      <c r="A164" t="s">
        <v>257</v>
      </c>
      <c r="B164" t="s">
        <v>332</v>
      </c>
    </row>
    <row r="165" spans="1:5" x14ac:dyDescent="0.35">
      <c r="A165" t="s">
        <v>259</v>
      </c>
      <c r="B165" t="s">
        <v>72</v>
      </c>
    </row>
    <row r="166" spans="1:5" x14ac:dyDescent="0.35">
      <c r="A166" t="s">
        <v>261</v>
      </c>
      <c r="B166" t="s">
        <v>282</v>
      </c>
    </row>
    <row r="167" spans="1:5" x14ac:dyDescent="0.35">
      <c r="A167" t="s">
        <v>263</v>
      </c>
      <c r="B167" t="s">
        <v>260</v>
      </c>
    </row>
    <row r="168" spans="1:5" x14ac:dyDescent="0.35">
      <c r="A168" t="s">
        <v>264</v>
      </c>
      <c r="B168">
        <v>0.1</v>
      </c>
    </row>
    <row r="169" spans="1:5" x14ac:dyDescent="0.35">
      <c r="A169" t="s">
        <v>265</v>
      </c>
      <c r="B169" t="s">
        <v>283</v>
      </c>
      <c r="C169" t="s">
        <v>284</v>
      </c>
      <c r="D169" s="20" t="s">
        <v>268</v>
      </c>
    </row>
    <row r="170" spans="1:5" x14ac:dyDescent="0.35">
      <c r="A170" t="s">
        <v>269</v>
      </c>
      <c r="B170" t="s">
        <v>333</v>
      </c>
      <c r="C170" t="s">
        <v>243</v>
      </c>
      <c r="D170" t="s">
        <v>272</v>
      </c>
      <c r="E170" t="s">
        <v>334</v>
      </c>
    </row>
    <row r="171" spans="1:5" x14ac:dyDescent="0.35">
      <c r="A171" t="s">
        <v>273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C1A7-8FBF-42FD-BE80-8277FC5AE06A}">
  <sheetPr codeName="Sheet10">
    <tabColor rgb="FF00B0F0"/>
  </sheetPr>
  <dimension ref="A4:F56"/>
  <sheetViews>
    <sheetView topLeftCell="A10" workbookViewId="0">
      <selection activeCell="A35" sqref="A35"/>
    </sheetView>
  </sheetViews>
  <sheetFormatPr defaultRowHeight="14.5" x14ac:dyDescent="0.35"/>
  <cols>
    <col min="1" max="1" width="19.7265625" customWidth="1"/>
  </cols>
  <sheetData>
    <row r="4" spans="1:2" x14ac:dyDescent="0.35">
      <c r="A4" s="1" t="s">
        <v>189</v>
      </c>
    </row>
    <row r="5" spans="1:2" x14ac:dyDescent="0.35">
      <c r="A5" t="s">
        <v>190</v>
      </c>
    </row>
    <row r="6" spans="1:2" x14ac:dyDescent="0.35">
      <c r="A6" t="s">
        <v>191</v>
      </c>
    </row>
    <row r="7" spans="1:2" x14ac:dyDescent="0.35">
      <c r="A7" t="s">
        <v>192</v>
      </c>
    </row>
    <row r="8" spans="1:2" x14ac:dyDescent="0.35">
      <c r="A8" t="s">
        <v>193</v>
      </c>
    </row>
    <row r="9" spans="1:2" x14ac:dyDescent="0.35">
      <c r="A9" t="s">
        <v>197</v>
      </c>
    </row>
    <row r="10" spans="1:2" x14ac:dyDescent="0.35">
      <c r="A10" t="s">
        <v>198</v>
      </c>
    </row>
    <row r="12" spans="1:2" x14ac:dyDescent="0.35">
      <c r="A12" s="1" t="s">
        <v>5</v>
      </c>
    </row>
    <row r="13" spans="1:2" x14ac:dyDescent="0.35">
      <c r="A13" t="s">
        <v>8</v>
      </c>
      <c r="B13" t="s">
        <v>51</v>
      </c>
    </row>
    <row r="14" spans="1:2" x14ac:dyDescent="0.35">
      <c r="A14" t="s">
        <v>7</v>
      </c>
      <c r="B14" t="s">
        <v>52</v>
      </c>
    </row>
    <row r="15" spans="1:2" x14ac:dyDescent="0.35">
      <c r="A15" t="s">
        <v>53</v>
      </c>
      <c r="B15" t="s">
        <v>54</v>
      </c>
    </row>
    <row r="16" spans="1:2" x14ac:dyDescent="0.35">
      <c r="A16" t="s">
        <v>33</v>
      </c>
      <c r="B16" t="s">
        <v>55</v>
      </c>
    </row>
    <row r="17" spans="1:2" x14ac:dyDescent="0.35">
      <c r="A17" t="s">
        <v>50</v>
      </c>
      <c r="B17" t="s">
        <v>57</v>
      </c>
    </row>
    <row r="18" spans="1:2" x14ac:dyDescent="0.35">
      <c r="A18" t="s">
        <v>56</v>
      </c>
      <c r="B18" t="s">
        <v>58</v>
      </c>
    </row>
    <row r="19" spans="1:2" x14ac:dyDescent="0.35">
      <c r="A19" t="s">
        <v>60</v>
      </c>
      <c r="B19" t="s">
        <v>59</v>
      </c>
    </row>
    <row r="20" spans="1:2" x14ac:dyDescent="0.35">
      <c r="A20" t="s">
        <v>48</v>
      </c>
      <c r="B20" t="s">
        <v>61</v>
      </c>
    </row>
    <row r="21" spans="1:2" x14ac:dyDescent="0.35">
      <c r="A21" t="s">
        <v>49</v>
      </c>
      <c r="B21" t="s">
        <v>62</v>
      </c>
    </row>
    <row r="22" spans="1:2" x14ac:dyDescent="0.35">
      <c r="A22" t="s">
        <v>34</v>
      </c>
      <c r="B22" t="s">
        <v>63</v>
      </c>
    </row>
    <row r="23" spans="1:2" x14ac:dyDescent="0.35">
      <c r="A23" t="s">
        <v>217</v>
      </c>
      <c r="B23" t="s">
        <v>342</v>
      </c>
    </row>
    <row r="24" spans="1:2" x14ac:dyDescent="0.35">
      <c r="A24" t="s">
        <v>352</v>
      </c>
      <c r="B24" t="s">
        <v>379</v>
      </c>
    </row>
    <row r="26" spans="1:2" x14ac:dyDescent="0.35">
      <c r="A26" s="1" t="s">
        <v>0</v>
      </c>
    </row>
    <row r="27" spans="1:2" x14ac:dyDescent="0.35">
      <c r="A27" t="s">
        <v>7</v>
      </c>
      <c r="B27" t="s">
        <v>52</v>
      </c>
    </row>
    <row r="28" spans="1:2" x14ac:dyDescent="0.35">
      <c r="A28" t="s">
        <v>8</v>
      </c>
      <c r="B28" t="s">
        <v>51</v>
      </c>
    </row>
    <row r="29" spans="1:2" x14ac:dyDescent="0.35">
      <c r="A29" t="s">
        <v>9</v>
      </c>
      <c r="B29" t="s">
        <v>87</v>
      </c>
    </row>
    <row r="30" spans="1:2" x14ac:dyDescent="0.35">
      <c r="A30" t="s">
        <v>10</v>
      </c>
      <c r="B30" t="s">
        <v>86</v>
      </c>
    </row>
    <row r="31" spans="1:2" x14ac:dyDescent="0.35">
      <c r="A31" t="s">
        <v>11</v>
      </c>
      <c r="B31" t="s">
        <v>88</v>
      </c>
    </row>
    <row r="32" spans="1:2" x14ac:dyDescent="0.35">
      <c r="A32" t="s">
        <v>12</v>
      </c>
      <c r="B32" t="s">
        <v>89</v>
      </c>
    </row>
    <row r="33" spans="1:6" x14ac:dyDescent="0.35">
      <c r="A33" t="s">
        <v>13</v>
      </c>
      <c r="B33" t="s">
        <v>90</v>
      </c>
    </row>
    <row r="34" spans="1:6" x14ac:dyDescent="0.35">
      <c r="A34" t="s">
        <v>381</v>
      </c>
      <c r="B34" t="s">
        <v>91</v>
      </c>
    </row>
    <row r="35" spans="1:6" x14ac:dyDescent="0.35">
      <c r="A35" t="s">
        <v>27</v>
      </c>
      <c r="B35" t="s">
        <v>93</v>
      </c>
    </row>
    <row r="36" spans="1:6" x14ac:dyDescent="0.35">
      <c r="A36" t="s">
        <v>15</v>
      </c>
      <c r="B36" t="s">
        <v>95</v>
      </c>
    </row>
    <row r="37" spans="1:6" x14ac:dyDescent="0.35">
      <c r="A37" t="s">
        <v>16</v>
      </c>
      <c r="B37" t="s">
        <v>97</v>
      </c>
    </row>
    <row r="38" spans="1:6" x14ac:dyDescent="0.35">
      <c r="A38" t="s">
        <v>17</v>
      </c>
      <c r="B38" t="s">
        <v>96</v>
      </c>
    </row>
    <row r="39" spans="1:6" x14ac:dyDescent="0.35">
      <c r="A39" t="s">
        <v>18</v>
      </c>
      <c r="B39" t="s">
        <v>98</v>
      </c>
    </row>
    <row r="40" spans="1:6" x14ac:dyDescent="0.35">
      <c r="A40" t="s">
        <v>19</v>
      </c>
      <c r="B40" t="s">
        <v>99</v>
      </c>
    </row>
    <row r="41" spans="1:6" x14ac:dyDescent="0.35">
      <c r="A41" t="s">
        <v>20</v>
      </c>
      <c r="B41" t="s">
        <v>100</v>
      </c>
    </row>
    <row r="42" spans="1:6" x14ac:dyDescent="0.35">
      <c r="A42" t="s">
        <v>21</v>
      </c>
      <c r="B42" t="s">
        <v>101</v>
      </c>
    </row>
    <row r="43" spans="1:6" x14ac:dyDescent="0.35">
      <c r="A43" t="s">
        <v>22</v>
      </c>
      <c r="B43" t="s">
        <v>102</v>
      </c>
    </row>
    <row r="44" spans="1:6" x14ac:dyDescent="0.35">
      <c r="A44" t="s">
        <v>23</v>
      </c>
      <c r="B44" t="s">
        <v>103</v>
      </c>
      <c r="C44" t="s">
        <v>104</v>
      </c>
      <c r="D44" t="s">
        <v>105</v>
      </c>
      <c r="E44" t="s">
        <v>106</v>
      </c>
      <c r="F44" t="s">
        <v>107</v>
      </c>
    </row>
    <row r="45" spans="1:6" x14ac:dyDescent="0.35">
      <c r="A45" t="s">
        <v>24</v>
      </c>
      <c r="B45" t="s">
        <v>94</v>
      </c>
    </row>
    <row r="46" spans="1:6" x14ac:dyDescent="0.35">
      <c r="A46" t="s">
        <v>25</v>
      </c>
      <c r="B46" t="s">
        <v>108</v>
      </c>
      <c r="C46" t="s">
        <v>109</v>
      </c>
      <c r="D46" t="s">
        <v>110</v>
      </c>
    </row>
    <row r="47" spans="1:6" x14ac:dyDescent="0.35">
      <c r="A47" t="s">
        <v>28</v>
      </c>
      <c r="B47" t="s">
        <v>92</v>
      </c>
    </row>
    <row r="49" spans="1:6" x14ac:dyDescent="0.35">
      <c r="A49" s="1" t="s">
        <v>372</v>
      </c>
    </row>
    <row r="50" spans="1:6" x14ac:dyDescent="0.35">
      <c r="A50" t="s">
        <v>38</v>
      </c>
      <c r="B50" t="s">
        <v>374</v>
      </c>
      <c r="C50" t="s">
        <v>373</v>
      </c>
    </row>
    <row r="51" spans="1:6" x14ac:dyDescent="0.35">
      <c r="A51" t="s">
        <v>39</v>
      </c>
      <c r="B51" t="s">
        <v>268</v>
      </c>
    </row>
    <row r="52" spans="1:6" x14ac:dyDescent="0.35">
      <c r="A52" t="s">
        <v>376</v>
      </c>
      <c r="B52" t="s">
        <v>375</v>
      </c>
    </row>
    <row r="54" spans="1:6" x14ac:dyDescent="0.35">
      <c r="A54" s="1" t="s">
        <v>45</v>
      </c>
    </row>
    <row r="55" spans="1:6" x14ac:dyDescent="0.35">
      <c r="A55" t="s">
        <v>28</v>
      </c>
      <c r="B55" t="s">
        <v>380</v>
      </c>
    </row>
    <row r="56" spans="1:6" x14ac:dyDescent="0.35">
      <c r="A56" s="20" t="s">
        <v>23</v>
      </c>
      <c r="B56" t="s">
        <v>103</v>
      </c>
      <c r="C56" t="s">
        <v>104</v>
      </c>
      <c r="D56" t="s">
        <v>105</v>
      </c>
      <c r="E56" t="s">
        <v>106</v>
      </c>
      <c r="F56" t="s">
        <v>107</v>
      </c>
    </row>
  </sheetData>
  <phoneticPr fontId="9"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297D-1309-4294-949B-6F823C903297}">
  <sheetPr codeName="Sheet11">
    <tabColor rgb="FF00B0F0"/>
  </sheetPr>
  <dimension ref="A1:A25"/>
  <sheetViews>
    <sheetView workbookViewId="0">
      <selection activeCell="B12" sqref="B12"/>
    </sheetView>
  </sheetViews>
  <sheetFormatPr defaultRowHeight="14.5" x14ac:dyDescent="0.35"/>
  <sheetData>
    <row r="1" spans="1:1" x14ac:dyDescent="0.35">
      <c r="A1" s="1" t="s">
        <v>65</v>
      </c>
    </row>
    <row r="2" spans="1:1" x14ac:dyDescent="0.35">
      <c r="A2" s="1" t="s">
        <v>215</v>
      </c>
    </row>
    <row r="4" spans="1:1" x14ac:dyDescent="0.35">
      <c r="A4" s="1" t="s">
        <v>29</v>
      </c>
    </row>
    <row r="6" spans="1:1" x14ac:dyDescent="0.35">
      <c r="A6" t="s">
        <v>30</v>
      </c>
    </row>
    <row r="7" spans="1:1" x14ac:dyDescent="0.35">
      <c r="A7" t="s">
        <v>196</v>
      </c>
    </row>
    <row r="8" spans="1:1" x14ac:dyDescent="0.35">
      <c r="A8" t="s">
        <v>216</v>
      </c>
    </row>
    <row r="9" spans="1:1" x14ac:dyDescent="0.35">
      <c r="A9" t="s">
        <v>335</v>
      </c>
    </row>
    <row r="11" spans="1:1" x14ac:dyDescent="0.35">
      <c r="A11" s="1" t="s">
        <v>217</v>
      </c>
    </row>
    <row r="12" spans="1:1" x14ac:dyDescent="0.35">
      <c r="A12" t="s">
        <v>218</v>
      </c>
    </row>
    <row r="14" spans="1:1" x14ac:dyDescent="0.35">
      <c r="A14" s="1" t="s">
        <v>0</v>
      </c>
    </row>
    <row r="15" spans="1:1" x14ac:dyDescent="0.35">
      <c r="A15" t="s">
        <v>84</v>
      </c>
    </row>
    <row r="16" spans="1:1" x14ac:dyDescent="0.35">
      <c r="A16" s="1" t="s">
        <v>5</v>
      </c>
    </row>
    <row r="17" spans="1:1" x14ac:dyDescent="0.35">
      <c r="A17" t="s">
        <v>84</v>
      </c>
    </row>
    <row r="18" spans="1:1" x14ac:dyDescent="0.35">
      <c r="A18" s="1" t="s">
        <v>45</v>
      </c>
    </row>
    <row r="19" spans="1:1" x14ac:dyDescent="0.35">
      <c r="A19" t="s">
        <v>84</v>
      </c>
    </row>
    <row r="21" spans="1:1" x14ac:dyDescent="0.35">
      <c r="A21" s="1" t="s">
        <v>85</v>
      </c>
    </row>
    <row r="23" spans="1:1" x14ac:dyDescent="0.35">
      <c r="A23" t="s">
        <v>378</v>
      </c>
    </row>
    <row r="24" spans="1:1" x14ac:dyDescent="0.35">
      <c r="A24" t="s">
        <v>344</v>
      </c>
    </row>
    <row r="25" spans="1:1" x14ac:dyDescent="0.35">
      <c r="A25" t="s">
        <v>345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D235-CF91-4017-BDAC-26E2DB51B7C6}">
  <sheetPr>
    <tabColor rgb="FF00B0F0"/>
  </sheetPr>
  <dimension ref="A1:A24"/>
  <sheetViews>
    <sheetView workbookViewId="0">
      <selection activeCell="A5" sqref="A5:XFD5"/>
    </sheetView>
  </sheetViews>
  <sheetFormatPr defaultRowHeight="14.5" x14ac:dyDescent="0.35"/>
  <sheetData>
    <row r="1" spans="1:1" x14ac:dyDescent="0.35">
      <c r="A1" s="1" t="s">
        <v>346</v>
      </c>
    </row>
    <row r="2" spans="1:1" x14ac:dyDescent="0.35">
      <c r="A2" t="s">
        <v>349</v>
      </c>
    </row>
    <row r="3" spans="1:1" x14ac:dyDescent="0.35">
      <c r="A3" t="s">
        <v>347</v>
      </c>
    </row>
    <row r="4" spans="1:1" x14ac:dyDescent="0.35">
      <c r="A4" t="s">
        <v>348</v>
      </c>
    </row>
    <row r="5" spans="1:1" x14ac:dyDescent="0.35">
      <c r="A5" t="s">
        <v>350</v>
      </c>
    </row>
    <row r="6" spans="1:1" x14ac:dyDescent="0.35">
      <c r="A6" t="s">
        <v>351</v>
      </c>
    </row>
    <row r="8" spans="1:1" x14ac:dyDescent="0.35">
      <c r="A8" s="1" t="s">
        <v>355</v>
      </c>
    </row>
    <row r="9" spans="1:1" x14ac:dyDescent="0.35">
      <c r="A9" t="s">
        <v>359</v>
      </c>
    </row>
    <row r="10" spans="1:1" x14ac:dyDescent="0.35">
      <c r="A10" t="s">
        <v>360</v>
      </c>
    </row>
    <row r="11" spans="1:1" x14ac:dyDescent="0.35">
      <c r="A11" t="s">
        <v>361</v>
      </c>
    </row>
    <row r="12" spans="1:1" x14ac:dyDescent="0.35">
      <c r="A12" t="s">
        <v>362</v>
      </c>
    </row>
    <row r="13" spans="1:1" x14ac:dyDescent="0.35">
      <c r="A13" t="s">
        <v>363</v>
      </c>
    </row>
    <row r="14" spans="1:1" x14ac:dyDescent="0.35">
      <c r="A14" t="s">
        <v>364</v>
      </c>
    </row>
    <row r="15" spans="1:1" x14ac:dyDescent="0.35">
      <c r="A15" t="s">
        <v>366</v>
      </c>
    </row>
    <row r="16" spans="1:1" x14ac:dyDescent="0.35">
      <c r="A16" t="s">
        <v>367</v>
      </c>
    </row>
    <row r="17" spans="1:1" x14ac:dyDescent="0.35">
      <c r="A17" t="s">
        <v>365</v>
      </c>
    </row>
    <row r="18" spans="1:1" x14ac:dyDescent="0.35">
      <c r="A18" t="s">
        <v>368</v>
      </c>
    </row>
    <row r="19" spans="1:1" x14ac:dyDescent="0.35">
      <c r="A19" t="s">
        <v>377</v>
      </c>
    </row>
    <row r="21" spans="1:1" x14ac:dyDescent="0.35">
      <c r="A21" s="1" t="s">
        <v>356</v>
      </c>
    </row>
    <row r="22" spans="1:1" x14ac:dyDescent="0.35">
      <c r="A22" t="s">
        <v>358</v>
      </c>
    </row>
    <row r="23" spans="1:1" x14ac:dyDescent="0.35">
      <c r="A23" t="s">
        <v>370</v>
      </c>
    </row>
    <row r="24" spans="1:1" x14ac:dyDescent="0.35">
      <c r="A24" t="s">
        <v>371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40</v>
      </c>
    </row>
    <row r="2" spans="1:1" x14ac:dyDescent="0.35">
      <c r="A2" t="s">
        <v>44</v>
      </c>
    </row>
    <row r="3" spans="1:1" x14ac:dyDescent="0.35">
      <c r="A3" t="s">
        <v>46</v>
      </c>
    </row>
    <row r="4" spans="1:1" x14ac:dyDescent="0.35">
      <c r="A4" t="s">
        <v>41</v>
      </c>
    </row>
    <row r="5" spans="1:1" x14ac:dyDescent="0.35">
      <c r="A5" t="s">
        <v>42</v>
      </c>
    </row>
    <row r="6" spans="1:1" x14ac:dyDescent="0.35">
      <c r="A6" t="s">
        <v>43</v>
      </c>
    </row>
    <row r="7" spans="1:1" x14ac:dyDescent="0.35">
      <c r="A7" s="1" t="s">
        <v>353</v>
      </c>
    </row>
    <row r="8" spans="1:1" x14ac:dyDescent="0.35">
      <c r="A8" t="s">
        <v>354</v>
      </c>
    </row>
    <row r="9" spans="1:1" x14ac:dyDescent="0.35">
      <c r="A9" s="1" t="s">
        <v>0</v>
      </c>
    </row>
    <row r="10" spans="1:1" x14ac:dyDescent="0.35">
      <c r="A10" t="s">
        <v>1</v>
      </c>
    </row>
    <row r="11" spans="1:1" x14ac:dyDescent="0.35">
      <c r="A11" s="1" t="s">
        <v>2</v>
      </c>
    </row>
    <row r="12" spans="1:1" x14ac:dyDescent="0.35">
      <c r="A12" t="s">
        <v>3</v>
      </c>
    </row>
    <row r="13" spans="1:1" x14ac:dyDescent="0.35">
      <c r="A13" s="1" t="s">
        <v>4</v>
      </c>
    </row>
    <row r="14" spans="1:1" x14ac:dyDescent="0.35">
      <c r="A14" t="s">
        <v>47</v>
      </c>
    </row>
    <row r="15" spans="1:1" x14ac:dyDescent="0.35">
      <c r="A15" s="1" t="s">
        <v>5</v>
      </c>
    </row>
    <row r="16" spans="1:1" x14ac:dyDescent="0.35">
      <c r="A16" t="s">
        <v>6</v>
      </c>
    </row>
    <row r="17" spans="1:1" x14ac:dyDescent="0.35">
      <c r="A17" s="1" t="s">
        <v>45</v>
      </c>
    </row>
    <row r="18" spans="1:1" x14ac:dyDescent="0.35">
      <c r="A18"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Improvements</vt:lpstr>
      <vt:lpstr>Weekly One Pager</vt:lpstr>
      <vt:lpstr>Journal</vt:lpstr>
      <vt:lpstr>Ideas</vt:lpstr>
      <vt:lpstr>Trade Log</vt:lpstr>
      <vt:lpstr>Retro</vt:lpstr>
      <vt:lpstr>Retro BI</vt:lpstr>
      <vt:lpstr>Data Tags</vt:lpstr>
      <vt:lpstr>TraderSync Export</vt:lpstr>
      <vt:lpstr>Setup_Data</vt:lpstr>
      <vt:lpstr>Definitions</vt:lpstr>
      <vt:lpstr>To Do</vt:lpstr>
      <vt:lpstr>Process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2024-05-19T14:11:21Z</dcterms:modified>
</cp:coreProperties>
</file>